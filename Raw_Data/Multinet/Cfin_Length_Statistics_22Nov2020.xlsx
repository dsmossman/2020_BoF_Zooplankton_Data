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chartsheets/sheet2.xml" ContentType="application/vnd.openxmlformats-officedocument.spreadsheetml.chartsheet+xml"/>
  <Override PartName="/xl/worksheets/sheet4.xml" ContentType="application/vnd.openxmlformats-officedocument.spreadsheetml.work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lphine/Documents/BoF2020_Cruise/Raw_Data/Multinet/"/>
    </mc:Choice>
  </mc:AlternateContent>
  <xr:revisionPtr revIDLastSave="0" documentId="13_ncr:1_{51D00664-4B7F-8844-BE27-68DC7177B2CC}" xr6:coauthVersionLast="47" xr6:coauthVersionMax="47" xr10:uidLastSave="{00000000-0000-0000-0000-000000000000}"/>
  <bookViews>
    <workbookView xWindow="760" yWindow="500" windowWidth="28040" windowHeight="15700" activeTab="6" xr2:uid="{94390A3C-5008-134E-A507-1FF054C50E1C}"/>
  </bookViews>
  <sheets>
    <sheet name="Size Data" sheetId="3" r:id="rId1"/>
    <sheet name="C. fin length statistics" sheetId="5" r:id="rId2"/>
    <sheet name="C. fin length histogram" sheetId="11" r:id="rId3"/>
    <sheet name="C. fin width statistics" sheetId="7" r:id="rId4"/>
    <sheet name="C. fin width histogram" sheetId="8" r:id="rId5"/>
    <sheet name="ESD Statistics" sheetId="9" r:id="rId6"/>
    <sheet name="ESD Histogram" sheetId="10" r:id="rId7"/>
  </sheets>
  <definedNames>
    <definedName name="_xlnm._FilterDatabase" localSheetId="1" hidden="1">'C. fin length statistics'!$A$1:$C$16</definedName>
    <definedName name="_xlnm._FilterDatabase" localSheetId="0" hidden="1">'Size Data'!$A$1:$J$363</definedName>
    <definedName name="_xlchart.v1.0" hidden="1">'C. fin length statistics'!$A$1:$A$186</definedName>
    <definedName name="_xlchart.v1.1" hidden="1">'C. fin length statistics'!$A$1:$A$186</definedName>
    <definedName name="_xlchart.v1.2" hidden="1">'C. fin width statistics'!$A$1:$A$144</definedName>
    <definedName name="_xlchart.v1.3" hidden="1">'ESD Statistics'!$C$2:$C$130</definedName>
    <definedName name="_xlchart.v1.4" hidden="1">'ESD Statistics'!$C$2:$C$130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5" l="1"/>
  <c r="F4" i="5"/>
  <c r="F5" i="5"/>
  <c r="F6" i="5"/>
  <c r="F7" i="5"/>
  <c r="F8" i="5"/>
  <c r="F9" i="5"/>
  <c r="F10" i="5"/>
  <c r="F11" i="5"/>
  <c r="F12" i="5"/>
  <c r="F13" i="5"/>
  <c r="F14" i="5"/>
  <c r="F2" i="5"/>
  <c r="C3" i="9"/>
  <c r="C4" i="9"/>
  <c r="C2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G2" i="5"/>
  <c r="H2" i="5" s="1"/>
  <c r="J2" i="5" l="1"/>
  <c r="G10" i="5"/>
  <c r="H10" i="5" s="1"/>
  <c r="G14" i="5"/>
  <c r="H14" i="5" s="1"/>
  <c r="G13" i="5"/>
  <c r="H13" i="5" s="1"/>
  <c r="G5" i="5"/>
  <c r="H5" i="5" s="1"/>
  <c r="G7" i="5"/>
  <c r="H7" i="5" s="1"/>
  <c r="G11" i="5"/>
  <c r="H11" i="5" s="1"/>
  <c r="G9" i="5"/>
  <c r="H9" i="5" s="1"/>
  <c r="G12" i="5"/>
  <c r="H12" i="5" s="1"/>
  <c r="G4" i="5"/>
  <c r="H4" i="5" s="1"/>
  <c r="G8" i="5"/>
  <c r="H8" i="5" s="1"/>
  <c r="G3" i="5"/>
  <c r="H3" i="5" s="1"/>
  <c r="G6" i="5"/>
  <c r="H6" i="5" s="1"/>
  <c r="J5" i="5" l="1"/>
  <c r="J10" i="5"/>
  <c r="J9" i="5"/>
  <c r="J11" i="5"/>
  <c r="J7" i="5"/>
  <c r="J6" i="5"/>
  <c r="J13" i="5"/>
  <c r="J8" i="5"/>
  <c r="J14" i="5"/>
  <c r="J4" i="5"/>
  <c r="J12" i="5"/>
  <c r="J3" i="5"/>
  <c r="J16" i="5" l="1"/>
  <c r="J17" i="5" s="1"/>
</calcChain>
</file>

<file path=xl/sharedStrings.xml><?xml version="1.0" encoding="utf-8"?>
<sst xmlns="http://schemas.openxmlformats.org/spreadsheetml/2006/main" count="1700" uniqueCount="75">
  <si>
    <t>NH</t>
  </si>
  <si>
    <t>1/1</t>
  </si>
  <si>
    <t>Physonectae</t>
  </si>
  <si>
    <t>Calanus finmarchicus</t>
  </si>
  <si>
    <t>CIV</t>
  </si>
  <si>
    <t>CV</t>
  </si>
  <si>
    <t xml:space="preserve">Calanus hyperboreus </t>
  </si>
  <si>
    <t>GMB</t>
  </si>
  <si>
    <t>Calanus glacialis</t>
  </si>
  <si>
    <t>tow</t>
  </si>
  <si>
    <t>net</t>
  </si>
  <si>
    <t>site</t>
  </si>
  <si>
    <t>sample_date</t>
  </si>
  <si>
    <t>sorter</t>
  </si>
  <si>
    <t>taxa</t>
  </si>
  <si>
    <t>stage</t>
  </si>
  <si>
    <t>length</t>
  </si>
  <si>
    <t>width</t>
  </si>
  <si>
    <t>Siphonophora</t>
  </si>
  <si>
    <t>split</t>
  </si>
  <si>
    <t>Hydrozoa</t>
  </si>
  <si>
    <t>2021-07-28_CV_CalanusFinmarchicus_0.6X</t>
  </si>
  <si>
    <t>2021-07-28_CV_CalanusFinmarchicus_1X(1)</t>
  </si>
  <si>
    <t>2021-07-28_CV_CalanusFinmarchicus_1X(2)</t>
  </si>
  <si>
    <t>2021-07-28_CV_CalanusFinmarchicus_1X(3)</t>
  </si>
  <si>
    <t>2021-07-28_CV_CalanusFinmarchicus_1X(4)</t>
  </si>
  <si>
    <t>2021-07-28_CV_CalanusFinmarchicus_1X(5)</t>
  </si>
  <si>
    <t>2021-07-28_CV_CalanusGlacialis_3x</t>
  </si>
  <si>
    <t>2021-07-28_CV_CalanusFinmarchicus_1X(6)</t>
  </si>
  <si>
    <t>very small for CV - double check literature</t>
  </si>
  <si>
    <t>2021-07-28_CV_CalanusFinmarchicus_1X(7)</t>
  </si>
  <si>
    <t>2021-07-28_CV_CalanusGlacialis_3X(2)</t>
  </si>
  <si>
    <t>2021-07-28_CIV_CalanusHyperboreus_3X</t>
  </si>
  <si>
    <t>2021-07-28_CIV_CalanusFinmarchicus_1X</t>
  </si>
  <si>
    <t>2021-07-28_Fe_CalanusFinmarchicus_1X</t>
  </si>
  <si>
    <t>Fe</t>
  </si>
  <si>
    <t>2021-07-30_Physonectae_0.6X</t>
  </si>
  <si>
    <t>n/a</t>
  </si>
  <si>
    <t>2021-07-30_Hydrozoa_1X</t>
  </si>
  <si>
    <t>2021-07-30_SiphonophoraBRACTS_1X</t>
  </si>
  <si>
    <t>2021-07-30_SiphonophoraNECTOPHORES_1X(1)</t>
  </si>
  <si>
    <t>2021-07-30_SiphonophoraNECTOPHORES_0.6X(1)</t>
  </si>
  <si>
    <t>2021-07-30_SiphonophoraNECTOPHORES_0.6X(2)</t>
  </si>
  <si>
    <t>2021-07-30_SiphonophoraNECTOPHORES_0.6X(3)</t>
  </si>
  <si>
    <t>2021-07-30_CalanusFinmarchicusCV_1/1wholesample_1X</t>
  </si>
  <si>
    <t>2021-07-30_SiphonophoraBRACTS&amp;NECTOPHORES_1/1wholesample_0.6X</t>
  </si>
  <si>
    <t>Bin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</si>
  <si>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</si>
  <si>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</si>
  <si>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</si>
  <si>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</si>
  <si>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</si>
  <si>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</si>
  <si>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</si>
  <si>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</si>
  <si>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</si>
  <si>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</si>
  <si>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</si>
  <si>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</si>
  <si>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</si>
  <si>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Observed</t>
  </si>
  <si>
    <t>CDF</t>
  </si>
  <si>
    <t>Bin Only</t>
  </si>
  <si>
    <t>Expected</t>
  </si>
  <si>
    <t>chi-squared</t>
  </si>
  <si>
    <t>Data are normal</t>
  </si>
  <si>
    <t>Chi-Squared Statistic:</t>
  </si>
  <si>
    <t>Ch-Squared p-value:</t>
  </si>
  <si>
    <t>Column1</t>
  </si>
  <si>
    <t>Length</t>
  </si>
  <si>
    <t>Width</t>
  </si>
  <si>
    <t>ESD</t>
  </si>
  <si>
    <t>AF</t>
  </si>
  <si>
    <t>CIII</t>
  </si>
  <si>
    <t>Bracts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</si>
</sst>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/>
    <xf numFmtId="49" fontId="0" fillId="2" borderId="1" xfId="0" applyNumberFormat="1" applyFill="1" applyBorder="1"/>
    <xf numFmtId="49" fontId="0" fillId="0" borderId="0" xfId="0" applyNumberFormat="1"/>
    <xf numFmtId="0" fontId="0" fillId="0" borderId="0" xfId="0" applyAlignment="1">
      <alignment vertical="center"/>
    </xf>
    <xf numFmtId="0" fontId="0" fillId="0" borderId="2" xfId="0" applyBorder="1"/>
    <xf numFmtId="0" fontId="0" fillId="3" borderId="0" xfId="0" applyFill="1"/>
    <xf numFmtId="0" fontId="0" fillId="3" borderId="0" xfId="0" applyFill="1" applyAlignment="1">
      <alignment vertical="center"/>
    </xf>
    <xf numFmtId="49" fontId="0" fillId="3" borderId="0" xfId="0" applyNumberFormat="1" applyFill="1"/>
    <xf numFmtId="0" fontId="2" fillId="0" borderId="3" xfId="0" applyFont="1" applyBorder="1" applyAlignment="1">
      <alignment horizontal="center"/>
    </xf>
    <xf numFmtId="0" fontId="0" fillId="0" borderId="0" xfId="0" applyProtection="1">
      <protection locked="0"/>
    </xf>
    <xf numFmtId="0" fontId="2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3" fillId="0" borderId="0" xfId="0" applyFont="1"/>
    <xf numFmtId="49" fontId="0" fillId="0" borderId="2" xfId="0" applyNumberFormat="1" applyBorder="1"/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calcChain" Target="calcChain.xml"/><Relationship Id="rId5" Type="http://schemas.openxmlformats.org/officeDocument/2006/relationships/chartsheet" Target="chartsheets/sheet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696D5874-D139-6F40-B4D9-73AA76FDE721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Width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Width Histogram</a:t>
          </a:r>
        </a:p>
      </cx:txPr>
    </cx:title>
    <cx:plotArea>
      <cx:plotAreaRegion>
        <cx:series layoutId="clusteredColumn" uniqueId="{7E4957B7-F6DF-1F4D-A4BF-00F08D9B2551}"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Bin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Bin</a:t>
              </a:r>
            </a:p>
          </cx:txPr>
        </cx:title>
        <cx:majorTickMarks type="out"/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Frequency</a:t>
              </a:r>
            </a:p>
          </cx:txPr>
        </cx:title>
        <cx:majorTickMarks type="out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5AD4A407-3516-874D-8D2C-10472CA5C677}">
          <cx:dataLabels/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36AEB4D-DE36-484F-B62F-203E7C56BB49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C77FBB-5499-774E-93AE-119772279AD3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E7C2D63-1176-A94B-A7BA-F8E888ACBC89}">
  <sheetPr/>
  <sheetViews>
    <sheetView tabSelected="1"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microsoft.com/office/2014/relationships/chartEx" Target="../charts/chartEx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71327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7E0BEB1-0A75-58C3-CDA5-4F1072CF29F5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7CA16F8E-2E55-C66B-D1E5-A7C01ED534C0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65221" cy="6271327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71327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15CB8AC-8D2F-99AE-FC2E-37AAAC5A12E5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D682AE3F-96C7-B526-BA1C-7A53AEE683E2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65221" cy="6271327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71327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E6431B6-2D93-1DAE-40A6-807D97A96579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9E3852DF-6817-E9D1-437D-D3C032B84A13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65221" cy="6271327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96FEF-A263-0D42-8831-D70A1141F218}">
  <sheetPr filterMode="1"/>
  <dimension ref="A1:O363"/>
  <sheetViews>
    <sheetView workbookViewId="0">
      <pane ySplit="1" topLeftCell="A13" activePane="bottomLeft" state="frozen"/>
      <selection pane="bottomLeft" activeCell="P21" sqref="P21"/>
    </sheetView>
  </sheetViews>
  <sheetFormatPr baseColWidth="10" defaultRowHeight="16" x14ac:dyDescent="0.2"/>
  <cols>
    <col min="5" max="5" width="11.5" style="3" bestFit="1" customWidth="1"/>
    <col min="7" max="7" width="18.6640625" bestFit="1" customWidth="1"/>
    <col min="8" max="8" width="11.6640625" customWidth="1"/>
  </cols>
  <sheetData>
    <row r="1" spans="1:10" s="1" customFormat="1" x14ac:dyDescent="0.2">
      <c r="A1" s="1" t="s">
        <v>9</v>
      </c>
      <c r="B1" s="1" t="s">
        <v>10</v>
      </c>
      <c r="C1" s="1" t="s">
        <v>19</v>
      </c>
      <c r="D1" s="1" t="s">
        <v>11</v>
      </c>
      <c r="E1" s="2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</row>
    <row r="2" spans="1:10" hidden="1" x14ac:dyDescent="0.2">
      <c r="A2">
        <v>19</v>
      </c>
      <c r="B2">
        <v>1</v>
      </c>
      <c r="D2" t="s">
        <v>7</v>
      </c>
      <c r="E2" s="3">
        <v>44099</v>
      </c>
      <c r="F2" t="s">
        <v>0</v>
      </c>
      <c r="G2" t="s">
        <v>3</v>
      </c>
      <c r="H2" t="s">
        <v>72</v>
      </c>
      <c r="I2">
        <v>2.5</v>
      </c>
    </row>
    <row r="3" spans="1:10" hidden="1" x14ac:dyDescent="0.2">
      <c r="A3">
        <v>19</v>
      </c>
      <c r="B3">
        <v>1</v>
      </c>
      <c r="D3" t="s">
        <v>7</v>
      </c>
      <c r="E3" s="3">
        <v>44099</v>
      </c>
      <c r="F3" t="s">
        <v>0</v>
      </c>
      <c r="G3" t="s">
        <v>3</v>
      </c>
      <c r="H3" t="s">
        <v>72</v>
      </c>
      <c r="I3">
        <v>2.8</v>
      </c>
    </row>
    <row r="4" spans="1:10" hidden="1" x14ac:dyDescent="0.2">
      <c r="A4">
        <v>18</v>
      </c>
      <c r="B4">
        <v>1</v>
      </c>
      <c r="D4" t="s">
        <v>7</v>
      </c>
      <c r="E4" s="3">
        <v>44098</v>
      </c>
      <c r="F4" t="s">
        <v>0</v>
      </c>
      <c r="G4" t="s">
        <v>3</v>
      </c>
      <c r="H4" t="s">
        <v>72</v>
      </c>
      <c r="I4">
        <v>2.86</v>
      </c>
      <c r="J4">
        <v>0.88</v>
      </c>
    </row>
    <row r="5" spans="1:10" hidden="1" x14ac:dyDescent="0.2">
      <c r="A5">
        <v>18</v>
      </c>
      <c r="B5">
        <v>1</v>
      </c>
      <c r="D5" t="s">
        <v>7</v>
      </c>
      <c r="E5" s="3">
        <v>44098</v>
      </c>
      <c r="F5" t="s">
        <v>0</v>
      </c>
      <c r="G5" t="s">
        <v>3</v>
      </c>
      <c r="H5" t="s">
        <v>72</v>
      </c>
      <c r="I5">
        <v>2.72</v>
      </c>
      <c r="J5">
        <v>0.85</v>
      </c>
    </row>
    <row r="6" spans="1:10" hidden="1" x14ac:dyDescent="0.2">
      <c r="A6">
        <v>18</v>
      </c>
      <c r="B6">
        <v>1</v>
      </c>
      <c r="D6" t="s">
        <v>7</v>
      </c>
      <c r="E6" s="3">
        <v>44098</v>
      </c>
      <c r="F6" t="s">
        <v>0</v>
      </c>
      <c r="G6" t="s">
        <v>3</v>
      </c>
      <c r="H6" t="s">
        <v>73</v>
      </c>
      <c r="I6">
        <v>1.31</v>
      </c>
      <c r="J6">
        <v>0.37</v>
      </c>
    </row>
    <row r="7" spans="1:10" hidden="1" x14ac:dyDescent="0.2">
      <c r="A7">
        <v>19</v>
      </c>
      <c r="B7">
        <v>1</v>
      </c>
      <c r="D7" t="s">
        <v>7</v>
      </c>
      <c r="E7" s="3">
        <v>44099</v>
      </c>
      <c r="F7" t="s">
        <v>0</v>
      </c>
      <c r="G7" t="s">
        <v>3</v>
      </c>
      <c r="H7" t="s">
        <v>4</v>
      </c>
      <c r="I7">
        <v>3.3</v>
      </c>
    </row>
    <row r="8" spans="1:10" hidden="1" x14ac:dyDescent="0.2">
      <c r="A8">
        <v>18</v>
      </c>
      <c r="B8">
        <v>1</v>
      </c>
      <c r="D8" t="s">
        <v>7</v>
      </c>
      <c r="E8" s="3">
        <v>44098</v>
      </c>
      <c r="F8" t="s">
        <v>0</v>
      </c>
      <c r="G8" t="s">
        <v>3</v>
      </c>
      <c r="H8" t="s">
        <v>4</v>
      </c>
      <c r="I8">
        <v>1.79</v>
      </c>
      <c r="J8">
        <v>0.6</v>
      </c>
    </row>
    <row r="9" spans="1:10" hidden="1" x14ac:dyDescent="0.2">
      <c r="A9">
        <v>18</v>
      </c>
      <c r="B9">
        <v>1</v>
      </c>
      <c r="D9" t="s">
        <v>7</v>
      </c>
      <c r="E9" s="3">
        <v>44098</v>
      </c>
      <c r="F9" t="s">
        <v>0</v>
      </c>
      <c r="G9" t="s">
        <v>3</v>
      </c>
      <c r="H9" t="s">
        <v>4</v>
      </c>
      <c r="I9">
        <v>1.85</v>
      </c>
      <c r="J9">
        <v>0.56999999999999995</v>
      </c>
    </row>
    <row r="10" spans="1:10" hidden="1" x14ac:dyDescent="0.2">
      <c r="A10">
        <v>18</v>
      </c>
      <c r="B10">
        <v>1</v>
      </c>
      <c r="D10" t="s">
        <v>7</v>
      </c>
      <c r="E10" s="3">
        <v>44098</v>
      </c>
      <c r="F10" t="s">
        <v>0</v>
      </c>
      <c r="G10" t="s">
        <v>3</v>
      </c>
      <c r="H10" t="s">
        <v>4</v>
      </c>
      <c r="I10">
        <v>1.77</v>
      </c>
      <c r="J10">
        <v>0.5</v>
      </c>
    </row>
    <row r="11" spans="1:10" hidden="1" x14ac:dyDescent="0.2">
      <c r="A11">
        <v>18</v>
      </c>
      <c r="B11">
        <v>1</v>
      </c>
      <c r="D11" t="s">
        <v>7</v>
      </c>
      <c r="E11" s="3">
        <v>44098</v>
      </c>
      <c r="F11" t="s">
        <v>0</v>
      </c>
      <c r="G11" t="s">
        <v>3</v>
      </c>
      <c r="H11" t="s">
        <v>4</v>
      </c>
      <c r="I11">
        <v>1.78</v>
      </c>
      <c r="J11">
        <v>0.54</v>
      </c>
    </row>
    <row r="12" spans="1:10" hidden="1" x14ac:dyDescent="0.2">
      <c r="A12">
        <v>18</v>
      </c>
      <c r="B12">
        <v>1</v>
      </c>
      <c r="D12" t="s">
        <v>7</v>
      </c>
      <c r="E12" s="3">
        <v>44098</v>
      </c>
      <c r="F12" t="s">
        <v>0</v>
      </c>
      <c r="G12" t="s">
        <v>3</v>
      </c>
      <c r="H12" t="s">
        <v>4</v>
      </c>
      <c r="I12">
        <v>1.78</v>
      </c>
      <c r="J12">
        <v>0.54</v>
      </c>
    </row>
    <row r="13" spans="1:10" x14ac:dyDescent="0.2">
      <c r="A13">
        <v>18</v>
      </c>
      <c r="B13">
        <v>1</v>
      </c>
      <c r="D13" t="s">
        <v>7</v>
      </c>
      <c r="E13" s="3">
        <v>44098</v>
      </c>
      <c r="F13" t="s">
        <v>0</v>
      </c>
      <c r="G13" t="s">
        <v>3</v>
      </c>
      <c r="H13" t="s">
        <v>5</v>
      </c>
      <c r="I13">
        <v>2.06</v>
      </c>
      <c r="J13">
        <v>0.65</v>
      </c>
    </row>
    <row r="14" spans="1:10" x14ac:dyDescent="0.2">
      <c r="A14">
        <v>18</v>
      </c>
      <c r="B14">
        <v>1</v>
      </c>
      <c r="D14" t="s">
        <v>7</v>
      </c>
      <c r="E14" s="3">
        <v>44098</v>
      </c>
      <c r="F14" t="s">
        <v>0</v>
      </c>
      <c r="G14" t="s">
        <v>3</v>
      </c>
      <c r="H14" t="s">
        <v>5</v>
      </c>
      <c r="I14">
        <v>2.27</v>
      </c>
      <c r="J14">
        <v>0.67</v>
      </c>
    </row>
    <row r="15" spans="1:10" x14ac:dyDescent="0.2">
      <c r="A15">
        <v>18</v>
      </c>
      <c r="B15">
        <v>1</v>
      </c>
      <c r="D15" t="s">
        <v>7</v>
      </c>
      <c r="E15" s="3">
        <v>44098</v>
      </c>
      <c r="F15" t="s">
        <v>0</v>
      </c>
      <c r="G15" t="s">
        <v>3</v>
      </c>
      <c r="H15" t="s">
        <v>5</v>
      </c>
      <c r="I15">
        <v>2.31</v>
      </c>
      <c r="J15">
        <v>0.66</v>
      </c>
    </row>
    <row r="16" spans="1:10" x14ac:dyDescent="0.2">
      <c r="A16">
        <v>18</v>
      </c>
      <c r="B16">
        <v>1</v>
      </c>
      <c r="D16" t="s">
        <v>7</v>
      </c>
      <c r="E16" s="3">
        <v>44098</v>
      </c>
      <c r="F16" t="s">
        <v>0</v>
      </c>
      <c r="G16" t="s">
        <v>3</v>
      </c>
      <c r="H16" t="s">
        <v>5</v>
      </c>
      <c r="I16">
        <v>2.1</v>
      </c>
      <c r="J16">
        <v>0.65</v>
      </c>
    </row>
    <row r="17" spans="1:10" x14ac:dyDescent="0.2">
      <c r="A17">
        <v>18</v>
      </c>
      <c r="B17">
        <v>1</v>
      </c>
      <c r="D17" t="s">
        <v>7</v>
      </c>
      <c r="E17" s="3">
        <v>44098</v>
      </c>
      <c r="F17" t="s">
        <v>0</v>
      </c>
      <c r="G17" t="s">
        <v>3</v>
      </c>
      <c r="H17" t="s">
        <v>5</v>
      </c>
      <c r="I17">
        <v>2.1800000000000002</v>
      </c>
      <c r="J17">
        <v>0.71</v>
      </c>
    </row>
    <row r="18" spans="1:10" x14ac:dyDescent="0.2">
      <c r="A18">
        <v>18</v>
      </c>
      <c r="B18">
        <v>1</v>
      </c>
      <c r="D18" t="s">
        <v>7</v>
      </c>
      <c r="E18" s="3">
        <v>44098</v>
      </c>
      <c r="F18" t="s">
        <v>0</v>
      </c>
      <c r="G18" t="s">
        <v>3</v>
      </c>
      <c r="H18" t="s">
        <v>5</v>
      </c>
      <c r="I18">
        <v>1.96</v>
      </c>
      <c r="J18">
        <v>0.62</v>
      </c>
    </row>
    <row r="19" spans="1:10" x14ac:dyDescent="0.2">
      <c r="A19">
        <v>18</v>
      </c>
      <c r="B19">
        <v>1</v>
      </c>
      <c r="D19" t="s">
        <v>7</v>
      </c>
      <c r="E19" s="3">
        <v>44098</v>
      </c>
      <c r="F19" t="s">
        <v>0</v>
      </c>
      <c r="G19" t="s">
        <v>3</v>
      </c>
      <c r="H19" t="s">
        <v>5</v>
      </c>
      <c r="I19">
        <v>2.02</v>
      </c>
      <c r="J19">
        <v>0.61</v>
      </c>
    </row>
    <row r="20" spans="1:10" x14ac:dyDescent="0.2">
      <c r="A20">
        <v>18</v>
      </c>
      <c r="B20">
        <v>1</v>
      </c>
      <c r="D20" t="s">
        <v>7</v>
      </c>
      <c r="E20" s="3">
        <v>44098</v>
      </c>
      <c r="F20" t="s">
        <v>0</v>
      </c>
      <c r="G20" t="s">
        <v>3</v>
      </c>
      <c r="H20" t="s">
        <v>5</v>
      </c>
      <c r="I20">
        <v>1.98</v>
      </c>
      <c r="J20">
        <v>0.69</v>
      </c>
    </row>
    <row r="21" spans="1:10" x14ac:dyDescent="0.2">
      <c r="A21">
        <v>18</v>
      </c>
      <c r="B21">
        <v>1</v>
      </c>
      <c r="D21" t="s">
        <v>7</v>
      </c>
      <c r="E21" s="3">
        <v>44098</v>
      </c>
      <c r="F21" t="s">
        <v>0</v>
      </c>
      <c r="G21" t="s">
        <v>3</v>
      </c>
      <c r="H21" t="s">
        <v>5</v>
      </c>
      <c r="I21">
        <v>2.2799999999999998</v>
      </c>
      <c r="J21">
        <v>0.72</v>
      </c>
    </row>
    <row r="22" spans="1:10" x14ac:dyDescent="0.2">
      <c r="A22">
        <v>18</v>
      </c>
      <c r="B22">
        <v>1</v>
      </c>
      <c r="D22" t="s">
        <v>7</v>
      </c>
      <c r="E22" s="3">
        <v>44098</v>
      </c>
      <c r="F22" t="s">
        <v>0</v>
      </c>
      <c r="G22" t="s">
        <v>3</v>
      </c>
      <c r="H22" t="s">
        <v>5</v>
      </c>
      <c r="I22">
        <v>2.39</v>
      </c>
      <c r="J22">
        <v>0.79</v>
      </c>
    </row>
    <row r="23" spans="1:10" x14ac:dyDescent="0.2">
      <c r="A23">
        <v>18</v>
      </c>
      <c r="B23">
        <v>1</v>
      </c>
      <c r="D23" t="s">
        <v>7</v>
      </c>
      <c r="E23" s="3">
        <v>44098</v>
      </c>
      <c r="F23" t="s">
        <v>0</v>
      </c>
      <c r="G23" t="s">
        <v>3</v>
      </c>
      <c r="H23" t="s">
        <v>5</v>
      </c>
      <c r="I23">
        <v>2.12</v>
      </c>
      <c r="J23">
        <v>0.68</v>
      </c>
    </row>
    <row r="24" spans="1:10" x14ac:dyDescent="0.2">
      <c r="A24">
        <v>18</v>
      </c>
      <c r="B24">
        <v>1</v>
      </c>
      <c r="D24" t="s">
        <v>7</v>
      </c>
      <c r="E24" s="3">
        <v>44098</v>
      </c>
      <c r="F24" t="s">
        <v>0</v>
      </c>
      <c r="G24" t="s">
        <v>3</v>
      </c>
      <c r="H24" t="s">
        <v>5</v>
      </c>
      <c r="I24">
        <v>2.0499999999999998</v>
      </c>
      <c r="J24">
        <v>0.6</v>
      </c>
    </row>
    <row r="25" spans="1:10" x14ac:dyDescent="0.2">
      <c r="A25">
        <v>18</v>
      </c>
      <c r="B25">
        <v>1</v>
      </c>
      <c r="D25" t="s">
        <v>7</v>
      </c>
      <c r="E25" s="3">
        <v>44098</v>
      </c>
      <c r="F25" t="s">
        <v>0</v>
      </c>
      <c r="G25" t="s">
        <v>3</v>
      </c>
      <c r="H25" t="s">
        <v>5</v>
      </c>
      <c r="I25">
        <v>1.98</v>
      </c>
      <c r="J25">
        <v>0.61</v>
      </c>
    </row>
    <row r="26" spans="1:10" x14ac:dyDescent="0.2">
      <c r="A26">
        <v>18</v>
      </c>
      <c r="B26">
        <v>1</v>
      </c>
      <c r="D26" t="s">
        <v>7</v>
      </c>
      <c r="E26" s="3">
        <v>44098</v>
      </c>
      <c r="F26" t="s">
        <v>0</v>
      </c>
      <c r="G26" t="s">
        <v>3</v>
      </c>
      <c r="H26" t="s">
        <v>5</v>
      </c>
      <c r="I26">
        <v>1.94</v>
      </c>
      <c r="J26">
        <v>0.64</v>
      </c>
    </row>
    <row r="27" spans="1:10" x14ac:dyDescent="0.2">
      <c r="A27">
        <v>18</v>
      </c>
      <c r="B27">
        <v>1</v>
      </c>
      <c r="D27" t="s">
        <v>7</v>
      </c>
      <c r="E27" s="3">
        <v>44098</v>
      </c>
      <c r="F27" t="s">
        <v>0</v>
      </c>
      <c r="G27" t="s">
        <v>3</v>
      </c>
      <c r="H27" t="s">
        <v>5</v>
      </c>
      <c r="I27">
        <v>2.2799999999999998</v>
      </c>
      <c r="J27">
        <v>0.82</v>
      </c>
    </row>
    <row r="28" spans="1:10" x14ac:dyDescent="0.2">
      <c r="A28">
        <v>18</v>
      </c>
      <c r="B28">
        <v>1</v>
      </c>
      <c r="D28" t="s">
        <v>7</v>
      </c>
      <c r="E28" s="3">
        <v>44098</v>
      </c>
      <c r="F28" t="s">
        <v>0</v>
      </c>
      <c r="G28" t="s">
        <v>3</v>
      </c>
      <c r="H28" t="s">
        <v>5</v>
      </c>
      <c r="I28">
        <v>2.3199999999999998</v>
      </c>
      <c r="J28">
        <v>0.75</v>
      </c>
    </row>
    <row r="29" spans="1:10" x14ac:dyDescent="0.2">
      <c r="A29">
        <v>18</v>
      </c>
      <c r="B29">
        <v>1</v>
      </c>
      <c r="D29" t="s">
        <v>7</v>
      </c>
      <c r="E29" s="3">
        <v>44098</v>
      </c>
      <c r="F29" t="s">
        <v>0</v>
      </c>
      <c r="G29" t="s">
        <v>3</v>
      </c>
      <c r="H29" t="s">
        <v>5</v>
      </c>
      <c r="I29">
        <v>2.33</v>
      </c>
      <c r="J29">
        <v>0.73</v>
      </c>
    </row>
    <row r="30" spans="1:10" x14ac:dyDescent="0.2">
      <c r="A30">
        <v>18</v>
      </c>
      <c r="B30">
        <v>1</v>
      </c>
      <c r="D30" t="s">
        <v>7</v>
      </c>
      <c r="E30" s="3">
        <v>44098</v>
      </c>
      <c r="F30" t="s">
        <v>0</v>
      </c>
      <c r="G30" t="s">
        <v>3</v>
      </c>
      <c r="H30" t="s">
        <v>5</v>
      </c>
      <c r="I30">
        <v>2.4900000000000002</v>
      </c>
      <c r="J30">
        <v>0.76</v>
      </c>
    </row>
    <row r="31" spans="1:10" x14ac:dyDescent="0.2">
      <c r="A31">
        <v>18</v>
      </c>
      <c r="B31">
        <v>1</v>
      </c>
      <c r="D31" t="s">
        <v>7</v>
      </c>
      <c r="E31" s="3">
        <v>44098</v>
      </c>
      <c r="F31" t="s">
        <v>0</v>
      </c>
      <c r="G31" t="s">
        <v>3</v>
      </c>
      <c r="H31" t="s">
        <v>5</v>
      </c>
      <c r="I31">
        <v>1.99</v>
      </c>
      <c r="J31">
        <v>0.56000000000000005</v>
      </c>
    </row>
    <row r="32" spans="1:10" x14ac:dyDescent="0.2">
      <c r="A32">
        <v>18</v>
      </c>
      <c r="B32">
        <v>1</v>
      </c>
      <c r="D32" t="s">
        <v>7</v>
      </c>
      <c r="E32" s="3">
        <v>44098</v>
      </c>
      <c r="F32" t="s">
        <v>0</v>
      </c>
      <c r="G32" t="s">
        <v>3</v>
      </c>
      <c r="H32" t="s">
        <v>5</v>
      </c>
      <c r="I32">
        <v>2.13</v>
      </c>
      <c r="J32">
        <v>0.61</v>
      </c>
    </row>
    <row r="33" spans="1:10" x14ac:dyDescent="0.2">
      <c r="A33">
        <v>18</v>
      </c>
      <c r="B33">
        <v>1</v>
      </c>
      <c r="D33" t="s">
        <v>7</v>
      </c>
      <c r="E33" s="3">
        <v>44098</v>
      </c>
      <c r="F33" t="s">
        <v>0</v>
      </c>
      <c r="G33" t="s">
        <v>3</v>
      </c>
      <c r="H33" t="s">
        <v>5</v>
      </c>
      <c r="I33">
        <v>2.0299999999999998</v>
      </c>
      <c r="J33">
        <v>0.6</v>
      </c>
    </row>
    <row r="34" spans="1:10" x14ac:dyDescent="0.2">
      <c r="A34">
        <v>18</v>
      </c>
      <c r="B34">
        <v>1</v>
      </c>
      <c r="D34" t="s">
        <v>7</v>
      </c>
      <c r="E34" s="3">
        <v>44098</v>
      </c>
      <c r="F34" t="s">
        <v>0</v>
      </c>
      <c r="G34" t="s">
        <v>3</v>
      </c>
      <c r="H34" t="s">
        <v>5</v>
      </c>
      <c r="I34">
        <v>1.89</v>
      </c>
      <c r="J34">
        <v>0.6</v>
      </c>
    </row>
    <row r="35" spans="1:10" x14ac:dyDescent="0.2">
      <c r="A35">
        <v>18</v>
      </c>
      <c r="B35">
        <v>1</v>
      </c>
      <c r="D35" t="s">
        <v>7</v>
      </c>
      <c r="E35" s="3">
        <v>44098</v>
      </c>
      <c r="F35" t="s">
        <v>0</v>
      </c>
      <c r="G35" t="s">
        <v>3</v>
      </c>
      <c r="H35" t="s">
        <v>5</v>
      </c>
      <c r="I35">
        <v>2.38</v>
      </c>
      <c r="J35">
        <v>0.73</v>
      </c>
    </row>
    <row r="36" spans="1:10" x14ac:dyDescent="0.2">
      <c r="A36">
        <v>18</v>
      </c>
      <c r="B36">
        <v>1</v>
      </c>
      <c r="D36" t="s">
        <v>7</v>
      </c>
      <c r="E36" s="3">
        <v>44098</v>
      </c>
      <c r="F36" t="s">
        <v>0</v>
      </c>
      <c r="G36" t="s">
        <v>3</v>
      </c>
      <c r="H36" t="s">
        <v>5</v>
      </c>
      <c r="I36">
        <v>2.04</v>
      </c>
      <c r="J36">
        <v>0.64</v>
      </c>
    </row>
    <row r="37" spans="1:10" x14ac:dyDescent="0.2">
      <c r="A37">
        <v>18</v>
      </c>
      <c r="B37">
        <v>1</v>
      </c>
      <c r="D37" t="s">
        <v>7</v>
      </c>
      <c r="E37" s="3">
        <v>44098</v>
      </c>
      <c r="F37" t="s">
        <v>0</v>
      </c>
      <c r="G37" t="s">
        <v>3</v>
      </c>
      <c r="H37" t="s">
        <v>5</v>
      </c>
      <c r="I37">
        <v>1.96</v>
      </c>
      <c r="J37">
        <v>0.62</v>
      </c>
    </row>
    <row r="38" spans="1:10" x14ac:dyDescent="0.2">
      <c r="A38">
        <v>18</v>
      </c>
      <c r="B38">
        <v>1</v>
      </c>
      <c r="D38" t="s">
        <v>7</v>
      </c>
      <c r="E38" s="3">
        <v>44098</v>
      </c>
      <c r="F38" t="s">
        <v>0</v>
      </c>
      <c r="G38" t="s">
        <v>3</v>
      </c>
      <c r="H38" t="s">
        <v>5</v>
      </c>
      <c r="I38">
        <v>2.1800000000000002</v>
      </c>
      <c r="J38">
        <v>0.72</v>
      </c>
    </row>
    <row r="39" spans="1:10" x14ac:dyDescent="0.2">
      <c r="A39">
        <v>18</v>
      </c>
      <c r="B39">
        <v>1</v>
      </c>
      <c r="D39" t="s">
        <v>7</v>
      </c>
      <c r="E39" s="3">
        <v>44098</v>
      </c>
      <c r="F39" t="s">
        <v>0</v>
      </c>
      <c r="G39" t="s">
        <v>3</v>
      </c>
      <c r="H39" t="s">
        <v>5</v>
      </c>
      <c r="I39">
        <v>1.98</v>
      </c>
      <c r="J39">
        <v>0.56000000000000005</v>
      </c>
    </row>
    <row r="40" spans="1:10" x14ac:dyDescent="0.2">
      <c r="A40">
        <v>18</v>
      </c>
      <c r="B40">
        <v>1</v>
      </c>
      <c r="D40" t="s">
        <v>7</v>
      </c>
      <c r="E40" s="3">
        <v>44098</v>
      </c>
      <c r="F40" t="s">
        <v>0</v>
      </c>
      <c r="G40" t="s">
        <v>3</v>
      </c>
      <c r="H40" t="s">
        <v>5</v>
      </c>
      <c r="I40">
        <v>2.23</v>
      </c>
      <c r="J40">
        <v>0.72</v>
      </c>
    </row>
    <row r="41" spans="1:10" x14ac:dyDescent="0.2">
      <c r="A41">
        <v>18</v>
      </c>
      <c r="B41">
        <v>1</v>
      </c>
      <c r="D41" t="s">
        <v>7</v>
      </c>
      <c r="E41" s="3">
        <v>44098</v>
      </c>
      <c r="F41" t="s">
        <v>0</v>
      </c>
      <c r="G41" t="s">
        <v>3</v>
      </c>
      <c r="H41" t="s">
        <v>5</v>
      </c>
      <c r="I41">
        <v>2.42</v>
      </c>
      <c r="J41">
        <v>0.8</v>
      </c>
    </row>
    <row r="42" spans="1:10" x14ac:dyDescent="0.2">
      <c r="A42">
        <v>18</v>
      </c>
      <c r="B42">
        <v>1</v>
      </c>
      <c r="D42" t="s">
        <v>7</v>
      </c>
      <c r="E42" s="3">
        <v>44098</v>
      </c>
      <c r="F42" t="s">
        <v>0</v>
      </c>
      <c r="G42" t="s">
        <v>3</v>
      </c>
      <c r="H42" t="s">
        <v>5</v>
      </c>
      <c r="I42">
        <v>2.41</v>
      </c>
      <c r="J42">
        <v>0.81</v>
      </c>
    </row>
    <row r="43" spans="1:10" x14ac:dyDescent="0.2">
      <c r="A43">
        <v>18</v>
      </c>
      <c r="B43">
        <v>1</v>
      </c>
      <c r="D43" t="s">
        <v>7</v>
      </c>
      <c r="E43" s="3">
        <v>44098</v>
      </c>
      <c r="F43" t="s">
        <v>0</v>
      </c>
      <c r="G43" t="s">
        <v>3</v>
      </c>
      <c r="H43" t="s">
        <v>5</v>
      </c>
      <c r="I43">
        <v>2.54</v>
      </c>
      <c r="J43">
        <v>0.93</v>
      </c>
    </row>
    <row r="44" spans="1:10" x14ac:dyDescent="0.2">
      <c r="A44">
        <v>18</v>
      </c>
      <c r="B44">
        <v>1</v>
      </c>
      <c r="D44" t="s">
        <v>7</v>
      </c>
      <c r="E44" s="3">
        <v>44098</v>
      </c>
      <c r="F44" t="s">
        <v>0</v>
      </c>
      <c r="G44" t="s">
        <v>3</v>
      </c>
      <c r="H44" t="s">
        <v>5</v>
      </c>
      <c r="I44">
        <v>2.2799999999999998</v>
      </c>
      <c r="J44">
        <v>0.7</v>
      </c>
    </row>
    <row r="45" spans="1:10" x14ac:dyDescent="0.2">
      <c r="A45">
        <v>18</v>
      </c>
      <c r="B45">
        <v>1</v>
      </c>
      <c r="D45" t="s">
        <v>7</v>
      </c>
      <c r="E45" s="3">
        <v>44098</v>
      </c>
      <c r="F45" t="s">
        <v>0</v>
      </c>
      <c r="G45" t="s">
        <v>3</v>
      </c>
      <c r="H45" t="s">
        <v>5</v>
      </c>
      <c r="I45">
        <v>2.5299999999999998</v>
      </c>
      <c r="J45">
        <v>0.8</v>
      </c>
    </row>
    <row r="46" spans="1:10" x14ac:dyDescent="0.2">
      <c r="A46">
        <v>18</v>
      </c>
      <c r="B46">
        <v>1</v>
      </c>
      <c r="D46" t="s">
        <v>7</v>
      </c>
      <c r="E46" s="3">
        <v>44098</v>
      </c>
      <c r="F46" t="s">
        <v>0</v>
      </c>
      <c r="G46" t="s">
        <v>3</v>
      </c>
      <c r="H46" t="s">
        <v>5</v>
      </c>
      <c r="I46">
        <v>2.48</v>
      </c>
      <c r="J46">
        <v>0.7</v>
      </c>
    </row>
    <row r="47" spans="1:10" x14ac:dyDescent="0.2">
      <c r="A47">
        <v>18</v>
      </c>
      <c r="B47">
        <v>1</v>
      </c>
      <c r="D47" t="s">
        <v>7</v>
      </c>
      <c r="E47" s="3">
        <v>44098</v>
      </c>
      <c r="F47" t="s">
        <v>0</v>
      </c>
      <c r="G47" t="s">
        <v>3</v>
      </c>
      <c r="H47" t="s">
        <v>5</v>
      </c>
      <c r="I47">
        <v>2</v>
      </c>
      <c r="J47">
        <v>0.55000000000000004</v>
      </c>
    </row>
    <row r="48" spans="1:10" x14ac:dyDescent="0.2">
      <c r="A48">
        <v>18</v>
      </c>
      <c r="B48">
        <v>1</v>
      </c>
      <c r="D48" t="s">
        <v>7</v>
      </c>
      <c r="E48" s="3">
        <v>44098</v>
      </c>
      <c r="F48" t="s">
        <v>0</v>
      </c>
      <c r="G48" t="s">
        <v>3</v>
      </c>
      <c r="H48" t="s">
        <v>5</v>
      </c>
      <c r="I48">
        <v>2.0099999999999998</v>
      </c>
      <c r="J48">
        <v>0.56000000000000005</v>
      </c>
    </row>
    <row r="49" spans="1:10" x14ac:dyDescent="0.2">
      <c r="A49">
        <v>18</v>
      </c>
      <c r="B49">
        <v>1</v>
      </c>
      <c r="D49" t="s">
        <v>7</v>
      </c>
      <c r="E49" s="3">
        <v>44098</v>
      </c>
      <c r="F49" t="s">
        <v>0</v>
      </c>
      <c r="G49" t="s">
        <v>3</v>
      </c>
      <c r="H49" t="s">
        <v>5</v>
      </c>
      <c r="I49">
        <v>2.08</v>
      </c>
      <c r="J49">
        <v>0.68</v>
      </c>
    </row>
    <row r="50" spans="1:10" x14ac:dyDescent="0.2">
      <c r="A50">
        <v>18</v>
      </c>
      <c r="B50">
        <v>1</v>
      </c>
      <c r="D50" t="s">
        <v>7</v>
      </c>
      <c r="E50" s="3">
        <v>44098</v>
      </c>
      <c r="F50" t="s">
        <v>0</v>
      </c>
      <c r="G50" t="s">
        <v>3</v>
      </c>
      <c r="H50" t="s">
        <v>5</v>
      </c>
      <c r="I50">
        <v>2.06</v>
      </c>
      <c r="J50">
        <v>0.63</v>
      </c>
    </row>
    <row r="51" spans="1:10" x14ac:dyDescent="0.2">
      <c r="A51">
        <v>18</v>
      </c>
      <c r="B51">
        <v>1</v>
      </c>
      <c r="D51" t="s">
        <v>7</v>
      </c>
      <c r="E51" s="3">
        <v>44098</v>
      </c>
      <c r="F51" t="s">
        <v>0</v>
      </c>
      <c r="G51" t="s">
        <v>3</v>
      </c>
      <c r="H51" t="s">
        <v>5</v>
      </c>
      <c r="I51">
        <v>1.91</v>
      </c>
      <c r="J51">
        <v>0.57999999999999996</v>
      </c>
    </row>
    <row r="52" spans="1:10" x14ac:dyDescent="0.2">
      <c r="A52">
        <v>18</v>
      </c>
      <c r="B52">
        <v>1</v>
      </c>
      <c r="D52" t="s">
        <v>7</v>
      </c>
      <c r="E52" s="3">
        <v>44098</v>
      </c>
      <c r="F52" t="s">
        <v>0</v>
      </c>
      <c r="G52" t="s">
        <v>3</v>
      </c>
      <c r="H52" t="s">
        <v>5</v>
      </c>
      <c r="I52">
        <v>2.39</v>
      </c>
      <c r="J52">
        <v>0.79</v>
      </c>
    </row>
    <row r="53" spans="1:10" x14ac:dyDescent="0.2">
      <c r="A53">
        <v>18</v>
      </c>
      <c r="B53">
        <v>1</v>
      </c>
      <c r="D53" t="s">
        <v>7</v>
      </c>
      <c r="E53" s="3">
        <v>44098</v>
      </c>
      <c r="F53" t="s">
        <v>0</v>
      </c>
      <c r="G53" t="s">
        <v>3</v>
      </c>
      <c r="H53" t="s">
        <v>5</v>
      </c>
      <c r="I53">
        <v>2.1800000000000002</v>
      </c>
      <c r="J53">
        <v>0.73</v>
      </c>
    </row>
    <row r="54" spans="1:10" x14ac:dyDescent="0.2">
      <c r="A54">
        <v>18</v>
      </c>
      <c r="B54">
        <v>1</v>
      </c>
      <c r="D54" t="s">
        <v>7</v>
      </c>
      <c r="E54" s="3">
        <v>44098</v>
      </c>
      <c r="F54" t="s">
        <v>0</v>
      </c>
      <c r="G54" t="s">
        <v>3</v>
      </c>
      <c r="H54" t="s">
        <v>5</v>
      </c>
      <c r="I54">
        <v>2.11</v>
      </c>
      <c r="J54">
        <v>0.65</v>
      </c>
    </row>
    <row r="55" spans="1:10" x14ac:dyDescent="0.2">
      <c r="A55">
        <v>18</v>
      </c>
      <c r="B55">
        <v>1</v>
      </c>
      <c r="D55" t="s">
        <v>7</v>
      </c>
      <c r="E55" s="3">
        <v>44098</v>
      </c>
      <c r="F55" t="s">
        <v>0</v>
      </c>
      <c r="G55" t="s">
        <v>3</v>
      </c>
      <c r="H55" t="s">
        <v>5</v>
      </c>
      <c r="I55">
        <v>2.5099999999999998</v>
      </c>
      <c r="J55">
        <v>0.85</v>
      </c>
    </row>
    <row r="56" spans="1:10" x14ac:dyDescent="0.2">
      <c r="A56">
        <v>18</v>
      </c>
      <c r="B56">
        <v>1</v>
      </c>
      <c r="D56" t="s">
        <v>7</v>
      </c>
      <c r="E56" s="3">
        <v>44098</v>
      </c>
      <c r="F56" t="s">
        <v>0</v>
      </c>
      <c r="G56" t="s">
        <v>3</v>
      </c>
      <c r="H56" t="s">
        <v>5</v>
      </c>
      <c r="I56">
        <v>2.63</v>
      </c>
      <c r="J56">
        <v>0.93</v>
      </c>
    </row>
    <row r="57" spans="1:10" x14ac:dyDescent="0.2">
      <c r="A57">
        <v>18</v>
      </c>
      <c r="B57">
        <v>1</v>
      </c>
      <c r="D57" t="s">
        <v>7</v>
      </c>
      <c r="E57" s="3">
        <v>44098</v>
      </c>
      <c r="F57" t="s">
        <v>0</v>
      </c>
      <c r="G57" t="s">
        <v>3</v>
      </c>
      <c r="H57" t="s">
        <v>5</v>
      </c>
      <c r="I57">
        <v>2.31</v>
      </c>
      <c r="J57">
        <v>0.81</v>
      </c>
    </row>
    <row r="58" spans="1:10" x14ac:dyDescent="0.2">
      <c r="A58">
        <v>18</v>
      </c>
      <c r="B58">
        <v>1</v>
      </c>
      <c r="D58" t="s">
        <v>7</v>
      </c>
      <c r="E58" s="3">
        <v>44098</v>
      </c>
      <c r="F58" t="s">
        <v>0</v>
      </c>
      <c r="G58" t="s">
        <v>3</v>
      </c>
      <c r="H58" t="s">
        <v>5</v>
      </c>
      <c r="I58">
        <v>2.31</v>
      </c>
      <c r="J58">
        <v>0.73</v>
      </c>
    </row>
    <row r="59" spans="1:10" x14ac:dyDescent="0.2">
      <c r="A59">
        <v>18</v>
      </c>
      <c r="B59">
        <v>1</v>
      </c>
      <c r="D59" t="s">
        <v>7</v>
      </c>
      <c r="E59" s="3">
        <v>44098</v>
      </c>
      <c r="F59" t="s">
        <v>0</v>
      </c>
      <c r="G59" t="s">
        <v>3</v>
      </c>
      <c r="H59" t="s">
        <v>5</v>
      </c>
      <c r="I59">
        <v>2.0499999999999998</v>
      </c>
      <c r="J59">
        <v>0.65</v>
      </c>
    </row>
    <row r="60" spans="1:10" x14ac:dyDescent="0.2">
      <c r="A60">
        <v>18</v>
      </c>
      <c r="B60">
        <v>1</v>
      </c>
      <c r="D60" t="s">
        <v>7</v>
      </c>
      <c r="E60" s="3">
        <v>44098</v>
      </c>
      <c r="F60" t="s">
        <v>0</v>
      </c>
      <c r="G60" t="s">
        <v>3</v>
      </c>
      <c r="H60" t="s">
        <v>5</v>
      </c>
      <c r="I60">
        <v>2.2599999999999998</v>
      </c>
      <c r="J60">
        <v>0.71</v>
      </c>
    </row>
    <row r="61" spans="1:10" x14ac:dyDescent="0.2">
      <c r="A61">
        <v>18</v>
      </c>
      <c r="B61">
        <v>1</v>
      </c>
      <c r="D61" t="s">
        <v>7</v>
      </c>
      <c r="E61" s="3">
        <v>44098</v>
      </c>
      <c r="F61" t="s">
        <v>0</v>
      </c>
      <c r="G61" t="s">
        <v>3</v>
      </c>
      <c r="H61" t="s">
        <v>5</v>
      </c>
      <c r="I61">
        <v>2.27</v>
      </c>
      <c r="J61">
        <v>0.78</v>
      </c>
    </row>
    <row r="62" spans="1:10" x14ac:dyDescent="0.2">
      <c r="A62">
        <v>18</v>
      </c>
      <c r="B62">
        <v>1</v>
      </c>
      <c r="D62" t="s">
        <v>7</v>
      </c>
      <c r="E62" s="3">
        <v>44098</v>
      </c>
      <c r="F62" t="s">
        <v>0</v>
      </c>
      <c r="G62" t="s">
        <v>3</v>
      </c>
      <c r="H62" t="s">
        <v>5</v>
      </c>
      <c r="I62">
        <v>2.1</v>
      </c>
      <c r="J62">
        <v>0.69</v>
      </c>
    </row>
    <row r="63" spans="1:10" x14ac:dyDescent="0.2">
      <c r="A63">
        <v>18</v>
      </c>
      <c r="B63">
        <v>1</v>
      </c>
      <c r="D63" t="s">
        <v>7</v>
      </c>
      <c r="E63" s="3">
        <v>44098</v>
      </c>
      <c r="F63" t="s">
        <v>0</v>
      </c>
      <c r="G63" t="s">
        <v>3</v>
      </c>
      <c r="H63" t="s">
        <v>5</v>
      </c>
      <c r="I63">
        <v>2.5</v>
      </c>
      <c r="J63">
        <v>0.83</v>
      </c>
    </row>
    <row r="64" spans="1:10" x14ac:dyDescent="0.2">
      <c r="A64">
        <v>18</v>
      </c>
      <c r="B64">
        <v>1</v>
      </c>
      <c r="D64" t="s">
        <v>7</v>
      </c>
      <c r="E64" s="3">
        <v>44098</v>
      </c>
      <c r="F64" t="s">
        <v>0</v>
      </c>
      <c r="G64" t="s">
        <v>3</v>
      </c>
      <c r="H64" t="s">
        <v>5</v>
      </c>
      <c r="I64">
        <v>2.25</v>
      </c>
      <c r="J64">
        <v>0.67</v>
      </c>
    </row>
    <row r="65" spans="1:11" x14ac:dyDescent="0.2">
      <c r="A65">
        <v>18</v>
      </c>
      <c r="B65">
        <v>1</v>
      </c>
      <c r="D65" t="s">
        <v>7</v>
      </c>
      <c r="E65" s="3">
        <v>44098</v>
      </c>
      <c r="F65" t="s">
        <v>0</v>
      </c>
      <c r="G65" t="s">
        <v>3</v>
      </c>
      <c r="H65" t="s">
        <v>5</v>
      </c>
      <c r="I65">
        <v>2.12</v>
      </c>
      <c r="J65">
        <v>0.65</v>
      </c>
    </row>
    <row r="66" spans="1:11" x14ac:dyDescent="0.2">
      <c r="A66">
        <v>18</v>
      </c>
      <c r="B66">
        <v>1</v>
      </c>
      <c r="D66" t="s">
        <v>7</v>
      </c>
      <c r="E66" s="3">
        <v>44098</v>
      </c>
      <c r="F66" t="s">
        <v>0</v>
      </c>
      <c r="G66" t="s">
        <v>3</v>
      </c>
      <c r="H66" t="s">
        <v>5</v>
      </c>
      <c r="I66">
        <v>2.17</v>
      </c>
      <c r="J66">
        <v>0.73</v>
      </c>
    </row>
    <row r="67" spans="1:11" x14ac:dyDescent="0.2">
      <c r="A67">
        <v>18</v>
      </c>
      <c r="B67">
        <v>1</v>
      </c>
      <c r="D67" t="s">
        <v>7</v>
      </c>
      <c r="E67" s="3">
        <v>44098</v>
      </c>
      <c r="F67" t="s">
        <v>0</v>
      </c>
      <c r="G67" t="s">
        <v>3</v>
      </c>
      <c r="H67" t="s">
        <v>5</v>
      </c>
      <c r="I67">
        <v>2.15</v>
      </c>
      <c r="J67">
        <v>0.6</v>
      </c>
    </row>
    <row r="68" spans="1:11" x14ac:dyDescent="0.2">
      <c r="A68">
        <v>18</v>
      </c>
      <c r="B68">
        <v>1</v>
      </c>
      <c r="D68" t="s">
        <v>7</v>
      </c>
      <c r="E68" s="3">
        <v>44098</v>
      </c>
      <c r="F68" t="s">
        <v>0</v>
      </c>
      <c r="G68" t="s">
        <v>3</v>
      </c>
      <c r="H68" t="s">
        <v>5</v>
      </c>
      <c r="I68">
        <v>1.92</v>
      </c>
      <c r="J68">
        <v>0.64</v>
      </c>
    </row>
    <row r="69" spans="1:11" x14ac:dyDescent="0.2">
      <c r="A69">
        <v>18</v>
      </c>
      <c r="B69">
        <v>1</v>
      </c>
      <c r="D69" t="s">
        <v>7</v>
      </c>
      <c r="E69" s="3">
        <v>44098</v>
      </c>
      <c r="F69" t="s">
        <v>0</v>
      </c>
      <c r="G69" t="s">
        <v>3</v>
      </c>
      <c r="H69" t="s">
        <v>5</v>
      </c>
      <c r="I69">
        <v>2.04</v>
      </c>
      <c r="J69">
        <v>0.61</v>
      </c>
    </row>
    <row r="70" spans="1:11" hidden="1" x14ac:dyDescent="0.2">
      <c r="A70">
        <v>18</v>
      </c>
      <c r="B70">
        <v>1</v>
      </c>
      <c r="D70" t="s">
        <v>7</v>
      </c>
      <c r="E70" s="3">
        <v>44098</v>
      </c>
      <c r="F70" t="s">
        <v>0</v>
      </c>
      <c r="G70" t="s">
        <v>8</v>
      </c>
      <c r="H70" t="s">
        <v>4</v>
      </c>
      <c r="I70">
        <v>2.46</v>
      </c>
      <c r="J70">
        <v>0.77</v>
      </c>
    </row>
    <row r="71" spans="1:11" hidden="1" x14ac:dyDescent="0.2">
      <c r="A71">
        <v>18</v>
      </c>
      <c r="B71">
        <v>1</v>
      </c>
      <c r="D71" t="s">
        <v>7</v>
      </c>
      <c r="E71" s="3">
        <v>44098</v>
      </c>
      <c r="F71" t="s">
        <v>0</v>
      </c>
      <c r="G71" t="s">
        <v>8</v>
      </c>
      <c r="H71" t="s">
        <v>4</v>
      </c>
      <c r="I71">
        <v>2.04</v>
      </c>
      <c r="J71">
        <v>0.55000000000000004</v>
      </c>
    </row>
    <row r="72" spans="1:11" hidden="1" x14ac:dyDescent="0.2">
      <c r="A72">
        <v>18</v>
      </c>
      <c r="B72">
        <v>1</v>
      </c>
      <c r="D72" t="s">
        <v>7</v>
      </c>
      <c r="E72" s="3">
        <v>44098</v>
      </c>
      <c r="F72" t="s">
        <v>0</v>
      </c>
      <c r="G72" t="s">
        <v>8</v>
      </c>
      <c r="H72" t="s">
        <v>5</v>
      </c>
      <c r="I72">
        <v>2.74</v>
      </c>
      <c r="J72">
        <v>0.98</v>
      </c>
    </row>
    <row r="73" spans="1:11" hidden="1" x14ac:dyDescent="0.2">
      <c r="A73">
        <v>18</v>
      </c>
      <c r="B73">
        <v>1</v>
      </c>
      <c r="D73" t="s">
        <v>7</v>
      </c>
      <c r="E73" s="3">
        <v>44098</v>
      </c>
      <c r="F73" t="s">
        <v>0</v>
      </c>
      <c r="G73" t="s">
        <v>8</v>
      </c>
      <c r="H73" t="s">
        <v>5</v>
      </c>
      <c r="I73">
        <v>2.81</v>
      </c>
      <c r="J73">
        <v>0.87</v>
      </c>
    </row>
    <row r="74" spans="1:11" hidden="1" x14ac:dyDescent="0.2">
      <c r="A74">
        <v>18</v>
      </c>
      <c r="B74">
        <v>1</v>
      </c>
      <c r="D74" t="s">
        <v>7</v>
      </c>
      <c r="E74" s="3">
        <v>44098</v>
      </c>
      <c r="F74" t="s">
        <v>0</v>
      </c>
      <c r="G74" t="s">
        <v>8</v>
      </c>
      <c r="H74" t="s">
        <v>5</v>
      </c>
      <c r="I74">
        <v>2.8</v>
      </c>
      <c r="J74">
        <v>0.72</v>
      </c>
    </row>
    <row r="75" spans="1:11" hidden="1" x14ac:dyDescent="0.2">
      <c r="A75">
        <v>18</v>
      </c>
      <c r="B75">
        <v>1</v>
      </c>
      <c r="D75" t="s">
        <v>7</v>
      </c>
      <c r="E75" s="3">
        <v>44098</v>
      </c>
      <c r="F75" t="s">
        <v>0</v>
      </c>
      <c r="G75" t="s">
        <v>6</v>
      </c>
      <c r="H75" t="s">
        <v>5</v>
      </c>
      <c r="I75">
        <v>3.85</v>
      </c>
      <c r="J75">
        <v>1.38</v>
      </c>
    </row>
    <row r="76" spans="1:11" hidden="1" x14ac:dyDescent="0.2">
      <c r="A76">
        <v>18</v>
      </c>
      <c r="B76">
        <v>1</v>
      </c>
      <c r="D76" t="s">
        <v>7</v>
      </c>
      <c r="E76" s="3">
        <v>44098</v>
      </c>
      <c r="F76" t="s">
        <v>0</v>
      </c>
      <c r="G76" t="s">
        <v>6</v>
      </c>
      <c r="H76" t="s">
        <v>5</v>
      </c>
      <c r="I76">
        <v>4.54</v>
      </c>
      <c r="J76">
        <v>1.6</v>
      </c>
    </row>
    <row r="77" spans="1:11" hidden="1" x14ac:dyDescent="0.2">
      <c r="A77">
        <v>18</v>
      </c>
      <c r="B77">
        <v>1</v>
      </c>
      <c r="D77" t="s">
        <v>7</v>
      </c>
      <c r="E77" s="3">
        <v>44098</v>
      </c>
      <c r="F77" t="s">
        <v>0</v>
      </c>
      <c r="G77" t="s">
        <v>18</v>
      </c>
      <c r="I77">
        <v>5.0469999999999997</v>
      </c>
      <c r="J77">
        <v>0.58099999999999996</v>
      </c>
      <c r="K77" t="s">
        <v>74</v>
      </c>
    </row>
    <row r="78" spans="1:11" hidden="1" x14ac:dyDescent="0.2">
      <c r="A78">
        <v>18</v>
      </c>
      <c r="B78">
        <v>1</v>
      </c>
      <c r="D78" t="s">
        <v>7</v>
      </c>
      <c r="E78" s="3">
        <v>44098</v>
      </c>
      <c r="F78" t="s">
        <v>0</v>
      </c>
      <c r="G78" t="s">
        <v>18</v>
      </c>
      <c r="I78">
        <v>4.78</v>
      </c>
      <c r="J78">
        <v>0.87</v>
      </c>
      <c r="K78" t="s">
        <v>74</v>
      </c>
    </row>
    <row r="79" spans="1:11" hidden="1" x14ac:dyDescent="0.2">
      <c r="A79">
        <v>18</v>
      </c>
      <c r="B79">
        <v>1</v>
      </c>
      <c r="D79" t="s">
        <v>7</v>
      </c>
      <c r="E79" s="3">
        <v>44098</v>
      </c>
      <c r="F79" t="s">
        <v>0</v>
      </c>
      <c r="G79" t="s">
        <v>18</v>
      </c>
      <c r="I79">
        <v>4.4370000000000003</v>
      </c>
      <c r="J79">
        <v>0.45</v>
      </c>
      <c r="K79" t="s">
        <v>74</v>
      </c>
    </row>
    <row r="80" spans="1:11" hidden="1" x14ac:dyDescent="0.2">
      <c r="A80">
        <v>18</v>
      </c>
      <c r="B80">
        <v>1</v>
      </c>
      <c r="D80" t="s">
        <v>7</v>
      </c>
      <c r="E80" s="3">
        <v>44098</v>
      </c>
      <c r="F80" t="s">
        <v>0</v>
      </c>
      <c r="G80" t="s">
        <v>18</v>
      </c>
      <c r="I80">
        <v>4.0279999999999996</v>
      </c>
      <c r="J80">
        <v>2.4</v>
      </c>
      <c r="K80" t="s">
        <v>74</v>
      </c>
    </row>
    <row r="81" spans="1:11" hidden="1" x14ac:dyDescent="0.2">
      <c r="A81">
        <v>18</v>
      </c>
      <c r="B81">
        <v>1</v>
      </c>
      <c r="D81" t="s">
        <v>7</v>
      </c>
      <c r="E81" s="3">
        <v>44098</v>
      </c>
      <c r="F81" t="s">
        <v>0</v>
      </c>
      <c r="G81" t="s">
        <v>18</v>
      </c>
      <c r="I81">
        <v>1.42</v>
      </c>
      <c r="J81">
        <v>0.98</v>
      </c>
      <c r="K81" t="s">
        <v>74</v>
      </c>
    </row>
    <row r="82" spans="1:11" hidden="1" x14ac:dyDescent="0.2">
      <c r="A82">
        <v>18</v>
      </c>
      <c r="B82">
        <v>1</v>
      </c>
      <c r="D82" t="s">
        <v>7</v>
      </c>
      <c r="E82" s="3">
        <v>44098</v>
      </c>
      <c r="F82" t="s">
        <v>0</v>
      </c>
      <c r="G82" t="s">
        <v>18</v>
      </c>
      <c r="I82">
        <v>9.2279999999999998</v>
      </c>
      <c r="J82">
        <v>7.49</v>
      </c>
    </row>
    <row r="83" spans="1:11" hidden="1" x14ac:dyDescent="0.2">
      <c r="A83">
        <v>18</v>
      </c>
      <c r="B83">
        <v>1</v>
      </c>
      <c r="D83" t="s">
        <v>7</v>
      </c>
      <c r="E83" s="3">
        <v>44098</v>
      </c>
      <c r="F83" t="s">
        <v>0</v>
      </c>
      <c r="G83" t="s">
        <v>18</v>
      </c>
      <c r="I83">
        <v>5.93</v>
      </c>
      <c r="J83">
        <v>3.67</v>
      </c>
    </row>
    <row r="84" spans="1:11" hidden="1" x14ac:dyDescent="0.2">
      <c r="A84">
        <v>18</v>
      </c>
      <c r="B84">
        <v>1</v>
      </c>
      <c r="D84" t="s">
        <v>7</v>
      </c>
      <c r="E84" s="3">
        <v>44098</v>
      </c>
      <c r="F84" t="s">
        <v>0</v>
      </c>
      <c r="G84" t="s">
        <v>18</v>
      </c>
      <c r="I84">
        <v>2.09</v>
      </c>
      <c r="J84">
        <v>1.87</v>
      </c>
    </row>
    <row r="85" spans="1:11" hidden="1" x14ac:dyDescent="0.2">
      <c r="A85">
        <v>18</v>
      </c>
      <c r="B85">
        <v>1</v>
      </c>
      <c r="D85" t="s">
        <v>7</v>
      </c>
      <c r="E85" s="3">
        <v>44098</v>
      </c>
      <c r="F85" t="s">
        <v>0</v>
      </c>
      <c r="G85" t="s">
        <v>18</v>
      </c>
      <c r="I85">
        <v>1.88</v>
      </c>
      <c r="J85">
        <v>2.0099999999999998</v>
      </c>
    </row>
    <row r="86" spans="1:11" hidden="1" x14ac:dyDescent="0.2">
      <c r="A86">
        <v>18</v>
      </c>
      <c r="B86">
        <v>1</v>
      </c>
      <c r="D86" t="s">
        <v>7</v>
      </c>
      <c r="E86" s="3">
        <v>44098</v>
      </c>
      <c r="F86" t="s">
        <v>0</v>
      </c>
      <c r="G86" t="s">
        <v>18</v>
      </c>
      <c r="I86">
        <v>3.32</v>
      </c>
      <c r="J86">
        <v>3.94</v>
      </c>
    </row>
    <row r="87" spans="1:11" hidden="1" x14ac:dyDescent="0.2">
      <c r="A87">
        <v>18</v>
      </c>
      <c r="B87">
        <v>1</v>
      </c>
      <c r="D87" t="s">
        <v>7</v>
      </c>
      <c r="E87" s="3">
        <v>44098</v>
      </c>
      <c r="F87" t="s">
        <v>0</v>
      </c>
      <c r="G87" t="s">
        <v>18</v>
      </c>
      <c r="I87">
        <v>6.15</v>
      </c>
      <c r="J87">
        <v>2.5299999999999998</v>
      </c>
    </row>
    <row r="88" spans="1:11" hidden="1" x14ac:dyDescent="0.2">
      <c r="A88">
        <v>18</v>
      </c>
      <c r="B88">
        <v>1</v>
      </c>
      <c r="D88" t="s">
        <v>7</v>
      </c>
      <c r="E88" s="3">
        <v>44098</v>
      </c>
      <c r="F88" t="s">
        <v>0</v>
      </c>
      <c r="G88" t="s">
        <v>18</v>
      </c>
      <c r="I88">
        <v>2.1800000000000002</v>
      </c>
      <c r="J88">
        <v>1.476</v>
      </c>
    </row>
    <row r="89" spans="1:11" hidden="1" x14ac:dyDescent="0.2">
      <c r="A89">
        <v>18</v>
      </c>
      <c r="B89">
        <v>1</v>
      </c>
      <c r="D89" t="s">
        <v>7</v>
      </c>
      <c r="E89" s="3">
        <v>44098</v>
      </c>
      <c r="F89" t="s">
        <v>0</v>
      </c>
      <c r="G89" t="s">
        <v>18</v>
      </c>
      <c r="I89">
        <v>4</v>
      </c>
      <c r="J89">
        <v>1.76</v>
      </c>
    </row>
    <row r="90" spans="1:11" hidden="1" x14ac:dyDescent="0.2">
      <c r="A90">
        <v>18</v>
      </c>
      <c r="B90">
        <v>1</v>
      </c>
      <c r="D90" t="s">
        <v>7</v>
      </c>
      <c r="E90" s="3">
        <v>44098</v>
      </c>
      <c r="F90" t="s">
        <v>0</v>
      </c>
      <c r="G90" t="s">
        <v>18</v>
      </c>
      <c r="I90">
        <v>3.13</v>
      </c>
      <c r="J90">
        <v>1.82</v>
      </c>
    </row>
    <row r="91" spans="1:11" hidden="1" x14ac:dyDescent="0.2">
      <c r="A91">
        <v>18</v>
      </c>
      <c r="B91">
        <v>1</v>
      </c>
      <c r="D91" t="s">
        <v>7</v>
      </c>
      <c r="E91" s="3">
        <v>44098</v>
      </c>
      <c r="F91" t="s">
        <v>0</v>
      </c>
      <c r="G91" t="s">
        <v>18</v>
      </c>
      <c r="I91">
        <v>3.27</v>
      </c>
      <c r="J91">
        <v>3.4329999999999998</v>
      </c>
    </row>
    <row r="92" spans="1:11" hidden="1" x14ac:dyDescent="0.2">
      <c r="A92">
        <v>18</v>
      </c>
      <c r="B92">
        <v>1</v>
      </c>
      <c r="D92" t="s">
        <v>7</v>
      </c>
      <c r="E92" s="3">
        <v>44098</v>
      </c>
      <c r="F92" t="s">
        <v>0</v>
      </c>
      <c r="G92" t="s">
        <v>18</v>
      </c>
      <c r="I92">
        <v>3.02</v>
      </c>
      <c r="J92">
        <v>1.77</v>
      </c>
    </row>
    <row r="93" spans="1:11" hidden="1" x14ac:dyDescent="0.2">
      <c r="A93">
        <v>18</v>
      </c>
      <c r="B93">
        <v>1</v>
      </c>
      <c r="D93" t="s">
        <v>7</v>
      </c>
      <c r="E93" s="3">
        <v>44098</v>
      </c>
      <c r="F93" t="s">
        <v>0</v>
      </c>
      <c r="G93" t="s">
        <v>18</v>
      </c>
      <c r="I93">
        <v>2.4900000000000002</v>
      </c>
      <c r="J93">
        <v>1.92</v>
      </c>
    </row>
    <row r="94" spans="1:11" hidden="1" x14ac:dyDescent="0.2">
      <c r="A94">
        <v>18</v>
      </c>
      <c r="B94">
        <v>1</v>
      </c>
      <c r="D94" t="s">
        <v>7</v>
      </c>
      <c r="E94" s="3">
        <v>44098</v>
      </c>
      <c r="F94" t="s">
        <v>0</v>
      </c>
      <c r="G94" t="s">
        <v>18</v>
      </c>
      <c r="I94">
        <v>2.1</v>
      </c>
      <c r="J94">
        <v>0.72</v>
      </c>
    </row>
    <row r="95" spans="1:11" hidden="1" x14ac:dyDescent="0.2">
      <c r="A95">
        <v>18</v>
      </c>
      <c r="B95">
        <v>1</v>
      </c>
      <c r="D95" t="s">
        <v>7</v>
      </c>
      <c r="E95" s="3">
        <v>44098</v>
      </c>
      <c r="F95" t="s">
        <v>0</v>
      </c>
      <c r="G95" t="s">
        <v>18</v>
      </c>
      <c r="I95">
        <v>2.0099999999999998</v>
      </c>
      <c r="J95">
        <v>3.24</v>
      </c>
    </row>
    <row r="96" spans="1:11" hidden="1" x14ac:dyDescent="0.2">
      <c r="A96">
        <v>18</v>
      </c>
      <c r="B96">
        <v>1</v>
      </c>
      <c r="D96" t="s">
        <v>7</v>
      </c>
      <c r="E96" s="3">
        <v>44098</v>
      </c>
      <c r="F96" t="s">
        <v>0</v>
      </c>
      <c r="G96" t="s">
        <v>18</v>
      </c>
      <c r="I96">
        <v>2.8</v>
      </c>
      <c r="J96">
        <v>1.62</v>
      </c>
    </row>
    <row r="97" spans="1:15" hidden="1" x14ac:dyDescent="0.2">
      <c r="A97">
        <v>18</v>
      </c>
      <c r="B97">
        <v>1</v>
      </c>
      <c r="D97" t="s">
        <v>7</v>
      </c>
      <c r="E97" s="3">
        <v>44098</v>
      </c>
      <c r="F97" t="s">
        <v>0</v>
      </c>
      <c r="G97" t="s">
        <v>18</v>
      </c>
      <c r="I97">
        <v>5.66</v>
      </c>
      <c r="J97">
        <v>3.63</v>
      </c>
    </row>
    <row r="98" spans="1:15" hidden="1" x14ac:dyDescent="0.2">
      <c r="A98">
        <v>18</v>
      </c>
      <c r="B98">
        <v>1</v>
      </c>
      <c r="D98" t="s">
        <v>7</v>
      </c>
      <c r="E98" s="3">
        <v>44098</v>
      </c>
      <c r="F98" t="s">
        <v>0</v>
      </c>
      <c r="G98" t="s">
        <v>18</v>
      </c>
      <c r="I98">
        <v>3.37</v>
      </c>
      <c r="J98">
        <v>2.06</v>
      </c>
    </row>
    <row r="99" spans="1:15" hidden="1" x14ac:dyDescent="0.2">
      <c r="A99">
        <v>18</v>
      </c>
      <c r="B99">
        <v>1</v>
      </c>
      <c r="D99" t="s">
        <v>7</v>
      </c>
      <c r="E99" s="3">
        <v>44098</v>
      </c>
      <c r="F99" t="s">
        <v>0</v>
      </c>
      <c r="G99" t="s">
        <v>18</v>
      </c>
      <c r="I99">
        <v>3.86</v>
      </c>
      <c r="J99">
        <v>2.75</v>
      </c>
    </row>
    <row r="100" spans="1:15" hidden="1" x14ac:dyDescent="0.2">
      <c r="A100">
        <v>18</v>
      </c>
      <c r="B100">
        <v>1</v>
      </c>
      <c r="D100" t="s">
        <v>7</v>
      </c>
      <c r="E100" s="3">
        <v>44098</v>
      </c>
      <c r="F100" t="s">
        <v>0</v>
      </c>
      <c r="G100" t="s">
        <v>18</v>
      </c>
      <c r="I100">
        <v>3.8130000000000002</v>
      </c>
      <c r="J100">
        <v>1.4</v>
      </c>
    </row>
    <row r="101" spans="1:15" hidden="1" x14ac:dyDescent="0.2">
      <c r="A101">
        <v>18</v>
      </c>
      <c r="B101">
        <v>1</v>
      </c>
      <c r="D101" t="s">
        <v>7</v>
      </c>
      <c r="E101" s="3">
        <v>44098</v>
      </c>
      <c r="F101" t="s">
        <v>0</v>
      </c>
      <c r="G101" t="s">
        <v>18</v>
      </c>
      <c r="I101">
        <v>2.96</v>
      </c>
      <c r="J101">
        <v>1.1000000000000001</v>
      </c>
    </row>
    <row r="102" spans="1:15" hidden="1" x14ac:dyDescent="0.2">
      <c r="A102">
        <v>18</v>
      </c>
      <c r="B102">
        <v>1</v>
      </c>
      <c r="D102" t="s">
        <v>7</v>
      </c>
      <c r="E102" s="3">
        <v>44098</v>
      </c>
      <c r="F102" t="s">
        <v>0</v>
      </c>
      <c r="G102" t="s">
        <v>18</v>
      </c>
      <c r="I102">
        <v>5.61</v>
      </c>
      <c r="J102">
        <v>2.29</v>
      </c>
    </row>
    <row r="103" spans="1:15" hidden="1" x14ac:dyDescent="0.2">
      <c r="A103">
        <v>18</v>
      </c>
      <c r="B103">
        <v>1</v>
      </c>
      <c r="D103" t="s">
        <v>7</v>
      </c>
      <c r="E103" s="3">
        <v>44098</v>
      </c>
      <c r="F103" t="s">
        <v>0</v>
      </c>
      <c r="G103" t="s">
        <v>18</v>
      </c>
      <c r="I103">
        <v>0.98</v>
      </c>
      <c r="J103">
        <v>1.25</v>
      </c>
    </row>
    <row r="104" spans="1:15" hidden="1" x14ac:dyDescent="0.2">
      <c r="A104">
        <v>18</v>
      </c>
      <c r="B104">
        <v>1</v>
      </c>
      <c r="D104" t="s">
        <v>7</v>
      </c>
      <c r="E104" s="3">
        <v>44098</v>
      </c>
      <c r="F104" t="s">
        <v>0</v>
      </c>
      <c r="G104" t="s">
        <v>18</v>
      </c>
      <c r="I104">
        <v>2.2799999999999998</v>
      </c>
      <c r="J104">
        <v>2.6360000000000001</v>
      </c>
    </row>
    <row r="105" spans="1:15" hidden="1" x14ac:dyDescent="0.2">
      <c r="A105">
        <v>18</v>
      </c>
      <c r="B105">
        <v>1</v>
      </c>
      <c r="D105" t="s">
        <v>7</v>
      </c>
      <c r="E105" s="3">
        <v>44098</v>
      </c>
      <c r="F105" t="s">
        <v>0</v>
      </c>
      <c r="G105" t="s">
        <v>18</v>
      </c>
      <c r="I105">
        <v>3.4950000000000001</v>
      </c>
      <c r="J105">
        <v>0.89600000000000002</v>
      </c>
    </row>
    <row r="106" spans="1:15" s="6" customFormat="1" hidden="1" x14ac:dyDescent="0.2">
      <c r="A106">
        <v>18</v>
      </c>
      <c r="B106">
        <v>1</v>
      </c>
      <c r="C106"/>
      <c r="D106" t="s">
        <v>7</v>
      </c>
      <c r="E106" s="3">
        <v>44098</v>
      </c>
      <c r="F106" t="s">
        <v>0</v>
      </c>
      <c r="G106" t="s">
        <v>18</v>
      </c>
      <c r="H106"/>
      <c r="I106">
        <v>3.47</v>
      </c>
      <c r="J106">
        <v>2.14</v>
      </c>
      <c r="K106"/>
      <c r="O106" s="6" t="s">
        <v>29</v>
      </c>
    </row>
    <row r="107" spans="1:15" hidden="1" x14ac:dyDescent="0.2">
      <c r="A107">
        <v>18</v>
      </c>
      <c r="B107">
        <v>1</v>
      </c>
      <c r="D107" t="s">
        <v>7</v>
      </c>
      <c r="E107" s="3">
        <v>44098</v>
      </c>
      <c r="F107" t="s">
        <v>0</v>
      </c>
      <c r="G107" t="s">
        <v>18</v>
      </c>
      <c r="I107">
        <v>4.95</v>
      </c>
      <c r="J107">
        <v>1.67</v>
      </c>
    </row>
    <row r="108" spans="1:15" hidden="1" x14ac:dyDescent="0.2">
      <c r="A108">
        <v>18</v>
      </c>
      <c r="B108">
        <v>1</v>
      </c>
      <c r="D108" t="s">
        <v>7</v>
      </c>
      <c r="E108" s="3">
        <v>44098</v>
      </c>
      <c r="F108" t="s">
        <v>0</v>
      </c>
      <c r="G108" t="s">
        <v>18</v>
      </c>
      <c r="I108">
        <v>3.7</v>
      </c>
      <c r="J108">
        <v>2.2200000000000002</v>
      </c>
    </row>
    <row r="109" spans="1:15" hidden="1" x14ac:dyDescent="0.2">
      <c r="A109">
        <v>18</v>
      </c>
      <c r="B109">
        <v>1</v>
      </c>
      <c r="D109" t="s">
        <v>7</v>
      </c>
      <c r="E109" s="3">
        <v>44098</v>
      </c>
      <c r="F109" t="s">
        <v>0</v>
      </c>
      <c r="G109" t="s">
        <v>18</v>
      </c>
      <c r="I109">
        <v>3.61</v>
      </c>
      <c r="J109">
        <v>2.8</v>
      </c>
    </row>
    <row r="110" spans="1:15" hidden="1" x14ac:dyDescent="0.2">
      <c r="A110">
        <v>18</v>
      </c>
      <c r="B110">
        <v>1</v>
      </c>
      <c r="D110" t="s">
        <v>7</v>
      </c>
      <c r="E110" s="3">
        <v>44098</v>
      </c>
      <c r="F110" t="s">
        <v>0</v>
      </c>
      <c r="G110" t="s">
        <v>18</v>
      </c>
      <c r="I110">
        <v>3.26</v>
      </c>
      <c r="J110">
        <v>1.78</v>
      </c>
    </row>
    <row r="111" spans="1:15" hidden="1" x14ac:dyDescent="0.2">
      <c r="A111">
        <v>18</v>
      </c>
      <c r="B111">
        <v>1</v>
      </c>
      <c r="D111" t="s">
        <v>7</v>
      </c>
      <c r="E111" s="3">
        <v>44098</v>
      </c>
      <c r="F111" t="s">
        <v>0</v>
      </c>
      <c r="G111" t="s">
        <v>18</v>
      </c>
      <c r="I111">
        <v>1.93</v>
      </c>
      <c r="J111">
        <v>1.84</v>
      </c>
    </row>
    <row r="112" spans="1:15" hidden="1" x14ac:dyDescent="0.2">
      <c r="A112">
        <v>18</v>
      </c>
      <c r="B112">
        <v>1</v>
      </c>
      <c r="D112" t="s">
        <v>7</v>
      </c>
      <c r="E112" s="3">
        <v>44098</v>
      </c>
      <c r="F112" t="s">
        <v>0</v>
      </c>
      <c r="G112" t="s">
        <v>18</v>
      </c>
      <c r="I112">
        <v>5.59</v>
      </c>
      <c r="J112">
        <v>5.17</v>
      </c>
    </row>
    <row r="113" spans="1:11" hidden="1" x14ac:dyDescent="0.2">
      <c r="A113">
        <v>18</v>
      </c>
      <c r="B113">
        <v>1</v>
      </c>
      <c r="D113" t="s">
        <v>7</v>
      </c>
      <c r="E113" s="3">
        <v>44098</v>
      </c>
      <c r="F113" t="s">
        <v>0</v>
      </c>
      <c r="G113" t="s">
        <v>18</v>
      </c>
      <c r="I113">
        <v>2.98</v>
      </c>
      <c r="J113">
        <v>3.22</v>
      </c>
    </row>
    <row r="114" spans="1:11" hidden="1" x14ac:dyDescent="0.2">
      <c r="A114">
        <v>18</v>
      </c>
      <c r="B114">
        <v>1</v>
      </c>
      <c r="D114" t="s">
        <v>7</v>
      </c>
      <c r="E114" s="3">
        <v>44098</v>
      </c>
      <c r="F114" t="s">
        <v>0</v>
      </c>
      <c r="G114" t="s">
        <v>18</v>
      </c>
      <c r="I114">
        <v>6.63</v>
      </c>
      <c r="J114">
        <v>3.57</v>
      </c>
    </row>
    <row r="115" spans="1:11" hidden="1" x14ac:dyDescent="0.2">
      <c r="A115">
        <v>18</v>
      </c>
      <c r="B115">
        <v>1</v>
      </c>
      <c r="D115" t="s">
        <v>7</v>
      </c>
      <c r="E115" s="3">
        <v>44098</v>
      </c>
      <c r="F115" t="s">
        <v>0</v>
      </c>
      <c r="G115" t="s">
        <v>18</v>
      </c>
      <c r="I115">
        <v>4.9800000000000004</v>
      </c>
      <c r="J115">
        <v>2.85</v>
      </c>
    </row>
    <row r="116" spans="1:11" hidden="1" x14ac:dyDescent="0.2">
      <c r="A116">
        <v>18</v>
      </c>
      <c r="B116">
        <v>1</v>
      </c>
      <c r="D116" t="s">
        <v>7</v>
      </c>
      <c r="E116" s="3">
        <v>44098</v>
      </c>
      <c r="F116" t="s">
        <v>0</v>
      </c>
      <c r="G116" t="s">
        <v>18</v>
      </c>
      <c r="I116">
        <v>7.15</v>
      </c>
      <c r="J116">
        <v>2.57</v>
      </c>
    </row>
    <row r="117" spans="1:11" hidden="1" x14ac:dyDescent="0.2">
      <c r="A117">
        <v>18</v>
      </c>
      <c r="B117">
        <v>1</v>
      </c>
      <c r="D117" t="s">
        <v>7</v>
      </c>
      <c r="E117" s="3">
        <v>44098</v>
      </c>
      <c r="F117" t="s">
        <v>0</v>
      </c>
      <c r="G117" t="s">
        <v>18</v>
      </c>
      <c r="I117">
        <v>1.73</v>
      </c>
      <c r="J117">
        <v>1.32</v>
      </c>
    </row>
    <row r="118" spans="1:11" hidden="1" x14ac:dyDescent="0.2">
      <c r="A118">
        <v>18</v>
      </c>
      <c r="B118">
        <v>1</v>
      </c>
      <c r="D118" t="s">
        <v>7</v>
      </c>
      <c r="E118" s="3">
        <v>44098</v>
      </c>
      <c r="F118" t="s">
        <v>0</v>
      </c>
      <c r="G118" t="s">
        <v>18</v>
      </c>
      <c r="I118">
        <v>3.76</v>
      </c>
      <c r="J118">
        <v>3.07</v>
      </c>
    </row>
    <row r="119" spans="1:11" hidden="1" x14ac:dyDescent="0.2">
      <c r="A119">
        <v>18</v>
      </c>
      <c r="B119">
        <v>1</v>
      </c>
      <c r="D119" t="s">
        <v>7</v>
      </c>
      <c r="E119" s="3">
        <v>44098</v>
      </c>
      <c r="F119" t="s">
        <v>0</v>
      </c>
      <c r="G119" t="s">
        <v>18</v>
      </c>
      <c r="I119">
        <v>3.548</v>
      </c>
      <c r="J119">
        <v>1.69</v>
      </c>
    </row>
    <row r="120" spans="1:11" hidden="1" x14ac:dyDescent="0.2">
      <c r="A120">
        <v>18</v>
      </c>
      <c r="B120">
        <v>1</v>
      </c>
      <c r="D120" t="s">
        <v>7</v>
      </c>
      <c r="E120" s="3">
        <v>44098</v>
      </c>
      <c r="F120" t="s">
        <v>0</v>
      </c>
      <c r="G120" t="s">
        <v>18</v>
      </c>
      <c r="I120">
        <v>4.42</v>
      </c>
      <c r="J120">
        <v>2.58</v>
      </c>
    </row>
    <row r="121" spans="1:11" hidden="1" x14ac:dyDescent="0.2">
      <c r="A121">
        <v>18</v>
      </c>
      <c r="B121">
        <v>1</v>
      </c>
      <c r="D121" t="s">
        <v>7</v>
      </c>
      <c r="E121" s="3">
        <v>44098</v>
      </c>
      <c r="F121" t="s">
        <v>0</v>
      </c>
      <c r="G121" t="s">
        <v>18</v>
      </c>
      <c r="I121">
        <v>3.43</v>
      </c>
      <c r="J121">
        <v>2.4500000000000002</v>
      </c>
    </row>
    <row r="122" spans="1:11" hidden="1" x14ac:dyDescent="0.2">
      <c r="A122">
        <v>18</v>
      </c>
      <c r="B122">
        <v>1</v>
      </c>
      <c r="D122" t="s">
        <v>7</v>
      </c>
      <c r="E122" s="3">
        <v>44098</v>
      </c>
      <c r="F122" t="s">
        <v>0</v>
      </c>
      <c r="G122" t="s">
        <v>18</v>
      </c>
      <c r="I122">
        <v>7.89</v>
      </c>
      <c r="J122">
        <v>3.91</v>
      </c>
    </row>
    <row r="123" spans="1:11" hidden="1" x14ac:dyDescent="0.2">
      <c r="A123">
        <v>18</v>
      </c>
      <c r="B123">
        <v>1</v>
      </c>
      <c r="D123" t="s">
        <v>7</v>
      </c>
      <c r="E123" s="3">
        <v>44098</v>
      </c>
      <c r="F123" t="s">
        <v>0</v>
      </c>
      <c r="G123" t="s">
        <v>18</v>
      </c>
      <c r="I123">
        <v>2.5299999999999998</v>
      </c>
      <c r="J123">
        <v>0.4</v>
      </c>
      <c r="K123" t="s">
        <v>74</v>
      </c>
    </row>
    <row r="124" spans="1:11" s="6" customFormat="1" hidden="1" x14ac:dyDescent="0.2">
      <c r="A124">
        <v>18</v>
      </c>
      <c r="B124">
        <v>1</v>
      </c>
      <c r="C124"/>
      <c r="D124" t="s">
        <v>7</v>
      </c>
      <c r="E124" s="3">
        <v>44098</v>
      </c>
      <c r="F124" t="s">
        <v>0</v>
      </c>
      <c r="G124" t="s">
        <v>18</v>
      </c>
      <c r="H124"/>
      <c r="I124">
        <v>2.5</v>
      </c>
      <c r="J124">
        <v>0.38</v>
      </c>
      <c r="K124" t="s">
        <v>74</v>
      </c>
    </row>
    <row r="125" spans="1:11" hidden="1" x14ac:dyDescent="0.2">
      <c r="A125">
        <v>18</v>
      </c>
      <c r="B125">
        <v>1</v>
      </c>
      <c r="D125" t="s">
        <v>7</v>
      </c>
      <c r="E125" s="3">
        <v>44098</v>
      </c>
      <c r="F125" t="s">
        <v>0</v>
      </c>
      <c r="G125" t="s">
        <v>18</v>
      </c>
      <c r="I125">
        <v>1.38</v>
      </c>
      <c r="J125">
        <v>0.53</v>
      </c>
      <c r="K125" t="s">
        <v>74</v>
      </c>
    </row>
    <row r="126" spans="1:11" hidden="1" x14ac:dyDescent="0.2">
      <c r="A126">
        <v>18</v>
      </c>
      <c r="B126">
        <v>1</v>
      </c>
      <c r="D126" t="s">
        <v>7</v>
      </c>
      <c r="E126" s="3">
        <v>44098</v>
      </c>
      <c r="F126" t="s">
        <v>0</v>
      </c>
      <c r="G126" t="s">
        <v>18</v>
      </c>
      <c r="I126">
        <v>0.84</v>
      </c>
      <c r="J126">
        <v>1.29</v>
      </c>
    </row>
    <row r="127" spans="1:11" hidden="1" x14ac:dyDescent="0.2">
      <c r="A127">
        <v>18</v>
      </c>
      <c r="B127">
        <v>1</v>
      </c>
      <c r="D127" t="s">
        <v>7</v>
      </c>
      <c r="E127" s="3">
        <v>44098</v>
      </c>
      <c r="F127" t="s">
        <v>0</v>
      </c>
      <c r="G127" t="s">
        <v>18</v>
      </c>
      <c r="I127">
        <v>3.55</v>
      </c>
      <c r="J127">
        <v>2.13</v>
      </c>
    </row>
    <row r="128" spans="1:11" hidden="1" x14ac:dyDescent="0.2">
      <c r="A128">
        <v>18</v>
      </c>
      <c r="B128">
        <v>1</v>
      </c>
      <c r="D128" t="s">
        <v>7</v>
      </c>
      <c r="E128" s="3">
        <v>44098</v>
      </c>
      <c r="F128" t="s">
        <v>0</v>
      </c>
      <c r="G128" t="s">
        <v>18</v>
      </c>
      <c r="I128">
        <v>3.42</v>
      </c>
      <c r="J128">
        <v>3</v>
      </c>
    </row>
    <row r="129" spans="1:11" hidden="1" x14ac:dyDescent="0.2">
      <c r="A129">
        <v>18</v>
      </c>
      <c r="B129">
        <v>1</v>
      </c>
      <c r="D129" t="s">
        <v>7</v>
      </c>
      <c r="E129" s="3">
        <v>44098</v>
      </c>
      <c r="F129" t="s">
        <v>0</v>
      </c>
      <c r="G129" t="s">
        <v>18</v>
      </c>
      <c r="I129">
        <v>3.9</v>
      </c>
      <c r="J129">
        <v>1.93</v>
      </c>
    </row>
    <row r="130" spans="1:11" hidden="1" x14ac:dyDescent="0.2">
      <c r="A130">
        <v>18</v>
      </c>
      <c r="B130">
        <v>1</v>
      </c>
      <c r="D130" t="s">
        <v>7</v>
      </c>
      <c r="E130" s="3">
        <v>44098</v>
      </c>
      <c r="F130" t="s">
        <v>0</v>
      </c>
      <c r="G130" t="s">
        <v>18</v>
      </c>
      <c r="I130">
        <v>4.4800000000000004</v>
      </c>
      <c r="J130">
        <v>4.09</v>
      </c>
    </row>
    <row r="131" spans="1:11" hidden="1" x14ac:dyDescent="0.2">
      <c r="A131">
        <v>18</v>
      </c>
      <c r="B131">
        <v>1</v>
      </c>
      <c r="D131" t="s">
        <v>7</v>
      </c>
      <c r="E131" s="3">
        <v>44098</v>
      </c>
      <c r="F131" t="s">
        <v>0</v>
      </c>
      <c r="G131" t="s">
        <v>18</v>
      </c>
      <c r="I131">
        <v>6.91</v>
      </c>
      <c r="J131">
        <v>3.98</v>
      </c>
    </row>
    <row r="132" spans="1:11" hidden="1" x14ac:dyDescent="0.2">
      <c r="A132">
        <v>18</v>
      </c>
      <c r="B132">
        <v>1</v>
      </c>
      <c r="D132" t="s">
        <v>7</v>
      </c>
      <c r="E132" s="3">
        <v>44098</v>
      </c>
      <c r="F132" t="s">
        <v>0</v>
      </c>
      <c r="G132" t="s">
        <v>18</v>
      </c>
      <c r="I132">
        <v>4.79</v>
      </c>
      <c r="J132">
        <v>2.35</v>
      </c>
    </row>
    <row r="133" spans="1:11" hidden="1" x14ac:dyDescent="0.2">
      <c r="A133">
        <v>18</v>
      </c>
      <c r="B133">
        <v>1</v>
      </c>
      <c r="D133" t="s">
        <v>7</v>
      </c>
      <c r="E133" s="3">
        <v>44098</v>
      </c>
      <c r="F133" t="s">
        <v>0</v>
      </c>
      <c r="G133" t="s">
        <v>18</v>
      </c>
      <c r="I133">
        <v>3.12</v>
      </c>
      <c r="J133">
        <v>1.24</v>
      </c>
    </row>
    <row r="134" spans="1:11" hidden="1" x14ac:dyDescent="0.2">
      <c r="A134">
        <v>18</v>
      </c>
      <c r="B134">
        <v>1</v>
      </c>
      <c r="D134" t="s">
        <v>7</v>
      </c>
      <c r="E134" s="3">
        <v>44098</v>
      </c>
      <c r="F134" t="s">
        <v>0</v>
      </c>
      <c r="G134" t="s">
        <v>18</v>
      </c>
      <c r="I134">
        <v>4.2300000000000004</v>
      </c>
      <c r="J134">
        <v>1.94</v>
      </c>
    </row>
    <row r="135" spans="1:11" hidden="1" x14ac:dyDescent="0.2">
      <c r="A135">
        <v>18</v>
      </c>
      <c r="B135">
        <v>1</v>
      </c>
      <c r="D135" t="s">
        <v>7</v>
      </c>
      <c r="E135" s="3">
        <v>44098</v>
      </c>
      <c r="F135" t="s">
        <v>0</v>
      </c>
      <c r="G135" t="s">
        <v>18</v>
      </c>
      <c r="I135">
        <v>2.44</v>
      </c>
      <c r="J135">
        <v>3.56</v>
      </c>
    </row>
    <row r="136" spans="1:11" ht="17" hidden="1" thickBot="1" x14ac:dyDescent="0.25">
      <c r="A136" s="5">
        <v>18</v>
      </c>
      <c r="B136" s="5">
        <v>1</v>
      </c>
      <c r="C136" s="5"/>
      <c r="D136" s="5" t="s">
        <v>7</v>
      </c>
      <c r="E136" s="16">
        <v>44098</v>
      </c>
      <c r="F136" s="5" t="s">
        <v>0</v>
      </c>
      <c r="G136" s="5" t="s">
        <v>18</v>
      </c>
      <c r="H136" s="5"/>
      <c r="I136" s="5">
        <v>2.27</v>
      </c>
      <c r="J136" s="5">
        <v>1.27</v>
      </c>
      <c r="K136" s="5"/>
    </row>
    <row r="137" spans="1:11" x14ac:dyDescent="0.2">
      <c r="A137">
        <v>11</v>
      </c>
      <c r="B137">
        <v>1</v>
      </c>
      <c r="D137" t="s">
        <v>7</v>
      </c>
      <c r="F137" t="s">
        <v>0</v>
      </c>
      <c r="G137" t="s">
        <v>3</v>
      </c>
      <c r="H137" t="s">
        <v>5</v>
      </c>
      <c r="I137">
        <v>2.4500000000000002</v>
      </c>
      <c r="J137">
        <v>0.86</v>
      </c>
      <c r="K137" s="4" t="s">
        <v>21</v>
      </c>
    </row>
    <row r="138" spans="1:11" x14ac:dyDescent="0.2">
      <c r="A138">
        <v>11</v>
      </c>
      <c r="B138">
        <v>1</v>
      </c>
      <c r="D138" t="s">
        <v>7</v>
      </c>
      <c r="F138" t="s">
        <v>0</v>
      </c>
      <c r="G138" t="s">
        <v>3</v>
      </c>
      <c r="H138" t="s">
        <v>5</v>
      </c>
      <c r="I138">
        <v>2.0499999999999998</v>
      </c>
      <c r="J138">
        <v>0.67</v>
      </c>
      <c r="K138" s="4" t="s">
        <v>21</v>
      </c>
    </row>
    <row r="139" spans="1:11" x14ac:dyDescent="0.2">
      <c r="A139">
        <v>11</v>
      </c>
      <c r="B139">
        <v>1</v>
      </c>
      <c r="D139" t="s">
        <v>7</v>
      </c>
      <c r="F139" t="s">
        <v>0</v>
      </c>
      <c r="G139" t="s">
        <v>3</v>
      </c>
      <c r="H139" t="s">
        <v>5</v>
      </c>
      <c r="I139">
        <v>1.96</v>
      </c>
      <c r="J139">
        <v>0.63</v>
      </c>
      <c r="K139" s="4" t="s">
        <v>21</v>
      </c>
    </row>
    <row r="140" spans="1:11" x14ac:dyDescent="0.2">
      <c r="A140">
        <v>11</v>
      </c>
      <c r="B140">
        <v>1</v>
      </c>
      <c r="D140" t="s">
        <v>7</v>
      </c>
      <c r="F140" t="s">
        <v>0</v>
      </c>
      <c r="G140" t="s">
        <v>3</v>
      </c>
      <c r="H140" t="s">
        <v>5</v>
      </c>
      <c r="I140">
        <v>2.52</v>
      </c>
      <c r="J140">
        <v>0.89</v>
      </c>
      <c r="K140" s="4" t="s">
        <v>21</v>
      </c>
    </row>
    <row r="141" spans="1:11" x14ac:dyDescent="0.2">
      <c r="A141">
        <v>11</v>
      </c>
      <c r="B141">
        <v>1</v>
      </c>
      <c r="D141" t="s">
        <v>7</v>
      </c>
      <c r="F141" t="s">
        <v>0</v>
      </c>
      <c r="G141" t="s">
        <v>3</v>
      </c>
      <c r="H141" t="s">
        <v>5</v>
      </c>
      <c r="I141">
        <v>2.11</v>
      </c>
      <c r="J141">
        <v>0.56000000000000005</v>
      </c>
      <c r="K141" s="4" t="s">
        <v>21</v>
      </c>
    </row>
    <row r="142" spans="1:11" x14ac:dyDescent="0.2">
      <c r="A142">
        <v>11</v>
      </c>
      <c r="B142">
        <v>1</v>
      </c>
      <c r="D142" t="s">
        <v>7</v>
      </c>
      <c r="F142" t="s">
        <v>0</v>
      </c>
      <c r="G142" t="s">
        <v>3</v>
      </c>
      <c r="H142" t="s">
        <v>5</v>
      </c>
      <c r="I142">
        <v>2.2000000000000002</v>
      </c>
      <c r="J142">
        <v>0.63</v>
      </c>
      <c r="K142" s="4" t="s">
        <v>21</v>
      </c>
    </row>
    <row r="143" spans="1:11" x14ac:dyDescent="0.2">
      <c r="A143">
        <v>11</v>
      </c>
      <c r="B143">
        <v>1</v>
      </c>
      <c r="D143" t="s">
        <v>7</v>
      </c>
      <c r="F143" t="s">
        <v>0</v>
      </c>
      <c r="G143" t="s">
        <v>3</v>
      </c>
      <c r="H143" t="s">
        <v>5</v>
      </c>
      <c r="I143">
        <v>2.27</v>
      </c>
      <c r="J143">
        <v>0.74</v>
      </c>
      <c r="K143" s="4" t="s">
        <v>21</v>
      </c>
    </row>
    <row r="144" spans="1:11" x14ac:dyDescent="0.2">
      <c r="A144">
        <v>11</v>
      </c>
      <c r="B144">
        <v>1</v>
      </c>
      <c r="D144" t="s">
        <v>7</v>
      </c>
      <c r="F144" t="s">
        <v>0</v>
      </c>
      <c r="G144" t="s">
        <v>3</v>
      </c>
      <c r="H144" t="s">
        <v>5</v>
      </c>
      <c r="I144">
        <v>2.11</v>
      </c>
      <c r="J144">
        <v>0.63</v>
      </c>
      <c r="K144" s="4" t="s">
        <v>21</v>
      </c>
    </row>
    <row r="145" spans="1:11" x14ac:dyDescent="0.2">
      <c r="A145">
        <v>11</v>
      </c>
      <c r="B145">
        <v>1</v>
      </c>
      <c r="D145" t="s">
        <v>7</v>
      </c>
      <c r="F145" t="s">
        <v>0</v>
      </c>
      <c r="G145" t="s">
        <v>3</v>
      </c>
      <c r="H145" t="s">
        <v>5</v>
      </c>
      <c r="I145">
        <v>2.4500000000000002</v>
      </c>
      <c r="J145">
        <v>0.75</v>
      </c>
      <c r="K145" s="4" t="s">
        <v>21</v>
      </c>
    </row>
    <row r="146" spans="1:11" x14ac:dyDescent="0.2">
      <c r="A146">
        <v>11</v>
      </c>
      <c r="B146">
        <v>1</v>
      </c>
      <c r="D146" t="s">
        <v>7</v>
      </c>
      <c r="F146" t="s">
        <v>0</v>
      </c>
      <c r="G146" t="s">
        <v>3</v>
      </c>
      <c r="H146" t="s">
        <v>5</v>
      </c>
      <c r="I146">
        <v>2.2599999999999998</v>
      </c>
      <c r="J146">
        <v>0.7</v>
      </c>
      <c r="K146" s="4" t="s">
        <v>21</v>
      </c>
    </row>
    <row r="147" spans="1:11" x14ac:dyDescent="0.2">
      <c r="A147">
        <v>11</v>
      </c>
      <c r="B147">
        <v>1</v>
      </c>
      <c r="D147" t="s">
        <v>7</v>
      </c>
      <c r="F147" t="s">
        <v>0</v>
      </c>
      <c r="G147" t="s">
        <v>3</v>
      </c>
      <c r="H147" t="s">
        <v>5</v>
      </c>
      <c r="I147">
        <v>2.4700000000000002</v>
      </c>
      <c r="J147">
        <v>0.81</v>
      </c>
      <c r="K147" s="4" t="s">
        <v>21</v>
      </c>
    </row>
    <row r="148" spans="1:11" x14ac:dyDescent="0.2">
      <c r="A148">
        <v>11</v>
      </c>
      <c r="B148">
        <v>1</v>
      </c>
      <c r="D148" t="s">
        <v>7</v>
      </c>
      <c r="F148" t="s">
        <v>0</v>
      </c>
      <c r="G148" t="s">
        <v>3</v>
      </c>
      <c r="H148" t="s">
        <v>5</v>
      </c>
      <c r="I148">
        <v>2.52</v>
      </c>
      <c r="J148">
        <v>0.77</v>
      </c>
      <c r="K148" s="4" t="s">
        <v>21</v>
      </c>
    </row>
    <row r="149" spans="1:11" x14ac:dyDescent="0.2">
      <c r="A149">
        <v>11</v>
      </c>
      <c r="B149">
        <v>1</v>
      </c>
      <c r="D149" t="s">
        <v>7</v>
      </c>
      <c r="F149" t="s">
        <v>0</v>
      </c>
      <c r="G149" t="s">
        <v>3</v>
      </c>
      <c r="H149" t="s">
        <v>5</v>
      </c>
      <c r="I149">
        <v>2.2200000000000002</v>
      </c>
      <c r="J149">
        <v>0.71</v>
      </c>
      <c r="K149" s="4" t="s">
        <v>21</v>
      </c>
    </row>
    <row r="150" spans="1:11" x14ac:dyDescent="0.2">
      <c r="A150">
        <v>11</v>
      </c>
      <c r="B150">
        <v>1</v>
      </c>
      <c r="D150" t="s">
        <v>7</v>
      </c>
      <c r="F150" t="s">
        <v>0</v>
      </c>
      <c r="G150" t="s">
        <v>3</v>
      </c>
      <c r="H150" t="s">
        <v>5</v>
      </c>
      <c r="I150">
        <v>2.16</v>
      </c>
      <c r="J150">
        <v>0.68</v>
      </c>
      <c r="K150" s="4" t="s">
        <v>21</v>
      </c>
    </row>
    <row r="151" spans="1:11" x14ac:dyDescent="0.2">
      <c r="A151">
        <v>11</v>
      </c>
      <c r="B151">
        <v>1</v>
      </c>
      <c r="D151" t="s">
        <v>7</v>
      </c>
      <c r="F151" t="s">
        <v>0</v>
      </c>
      <c r="G151" t="s">
        <v>3</v>
      </c>
      <c r="H151" t="s">
        <v>5</v>
      </c>
      <c r="I151">
        <v>2.0499999999999998</v>
      </c>
      <c r="J151">
        <v>0.66</v>
      </c>
      <c r="K151" s="4" t="s">
        <v>21</v>
      </c>
    </row>
    <row r="152" spans="1:11" x14ac:dyDescent="0.2">
      <c r="A152">
        <v>11</v>
      </c>
      <c r="B152">
        <v>1</v>
      </c>
      <c r="D152" t="s">
        <v>7</v>
      </c>
      <c r="F152" t="s">
        <v>0</v>
      </c>
      <c r="G152" t="s">
        <v>3</v>
      </c>
      <c r="H152" t="s">
        <v>5</v>
      </c>
      <c r="I152">
        <v>2.04</v>
      </c>
      <c r="J152">
        <v>0.7</v>
      </c>
      <c r="K152" s="4" t="s">
        <v>21</v>
      </c>
    </row>
    <row r="153" spans="1:11" x14ac:dyDescent="0.2">
      <c r="A153">
        <v>11</v>
      </c>
      <c r="B153">
        <v>1</v>
      </c>
      <c r="D153" t="s">
        <v>7</v>
      </c>
      <c r="F153" t="s">
        <v>0</v>
      </c>
      <c r="G153" t="s">
        <v>3</v>
      </c>
      <c r="H153" t="s">
        <v>5</v>
      </c>
      <c r="I153">
        <v>2.15</v>
      </c>
      <c r="J153">
        <v>0.57999999999999996</v>
      </c>
      <c r="K153" s="4" t="s">
        <v>21</v>
      </c>
    </row>
    <row r="154" spans="1:11" x14ac:dyDescent="0.2">
      <c r="A154">
        <v>11</v>
      </c>
      <c r="B154">
        <v>1</v>
      </c>
      <c r="D154" t="s">
        <v>7</v>
      </c>
      <c r="F154" t="s">
        <v>0</v>
      </c>
      <c r="G154" t="s">
        <v>3</v>
      </c>
      <c r="H154" t="s">
        <v>5</v>
      </c>
      <c r="I154">
        <v>2.2400000000000002</v>
      </c>
      <c r="J154">
        <v>0.69</v>
      </c>
      <c r="K154" s="4" t="s">
        <v>21</v>
      </c>
    </row>
    <row r="155" spans="1:11" x14ac:dyDescent="0.2">
      <c r="A155">
        <v>11</v>
      </c>
      <c r="B155">
        <v>1</v>
      </c>
      <c r="D155" t="s">
        <v>7</v>
      </c>
      <c r="F155" t="s">
        <v>0</v>
      </c>
      <c r="G155" t="s">
        <v>3</v>
      </c>
      <c r="H155" t="s">
        <v>5</v>
      </c>
      <c r="I155">
        <v>2.2200000000000002</v>
      </c>
      <c r="J155">
        <v>0.6</v>
      </c>
      <c r="K155" s="4" t="s">
        <v>21</v>
      </c>
    </row>
    <row r="156" spans="1:11" x14ac:dyDescent="0.2">
      <c r="A156">
        <v>11</v>
      </c>
      <c r="B156">
        <v>1</v>
      </c>
      <c r="D156" t="s">
        <v>7</v>
      </c>
      <c r="F156" t="s">
        <v>0</v>
      </c>
      <c r="G156" t="s">
        <v>3</v>
      </c>
      <c r="H156" t="s">
        <v>5</v>
      </c>
      <c r="I156">
        <v>2.4</v>
      </c>
      <c r="J156">
        <v>0.64</v>
      </c>
      <c r="K156" s="4" t="s">
        <v>21</v>
      </c>
    </row>
    <row r="157" spans="1:11" x14ac:dyDescent="0.2">
      <c r="A157">
        <v>11</v>
      </c>
      <c r="B157">
        <v>1</v>
      </c>
      <c r="D157" t="s">
        <v>7</v>
      </c>
      <c r="F157" t="s">
        <v>0</v>
      </c>
      <c r="G157" t="s">
        <v>3</v>
      </c>
      <c r="H157" t="s">
        <v>5</v>
      </c>
      <c r="I157">
        <v>2.52</v>
      </c>
      <c r="J157">
        <v>0.81</v>
      </c>
      <c r="K157" s="4" t="s">
        <v>21</v>
      </c>
    </row>
    <row r="158" spans="1:11" x14ac:dyDescent="0.2">
      <c r="A158">
        <v>11</v>
      </c>
      <c r="B158">
        <v>1</v>
      </c>
      <c r="D158" t="s">
        <v>7</v>
      </c>
      <c r="F158" t="s">
        <v>0</v>
      </c>
      <c r="G158" t="s">
        <v>3</v>
      </c>
      <c r="H158" t="s">
        <v>5</v>
      </c>
      <c r="I158">
        <v>2.1</v>
      </c>
      <c r="J158">
        <v>0.71</v>
      </c>
      <c r="K158" s="4" t="s">
        <v>22</v>
      </c>
    </row>
    <row r="159" spans="1:11" x14ac:dyDescent="0.2">
      <c r="A159">
        <v>11</v>
      </c>
      <c r="B159">
        <v>1</v>
      </c>
      <c r="D159" t="s">
        <v>7</v>
      </c>
      <c r="F159" t="s">
        <v>0</v>
      </c>
      <c r="G159" t="s">
        <v>3</v>
      </c>
      <c r="H159" t="s">
        <v>5</v>
      </c>
      <c r="I159">
        <v>2.39</v>
      </c>
      <c r="J159">
        <v>0.75</v>
      </c>
      <c r="K159" s="4" t="s">
        <v>22</v>
      </c>
    </row>
    <row r="160" spans="1:11" x14ac:dyDescent="0.2">
      <c r="A160">
        <v>11</v>
      </c>
      <c r="B160">
        <v>1</v>
      </c>
      <c r="D160" t="s">
        <v>7</v>
      </c>
      <c r="F160" t="s">
        <v>0</v>
      </c>
      <c r="G160" t="s">
        <v>3</v>
      </c>
      <c r="H160" t="s">
        <v>5</v>
      </c>
      <c r="I160">
        <v>2.46</v>
      </c>
      <c r="J160">
        <v>0.78</v>
      </c>
      <c r="K160" s="4" t="s">
        <v>22</v>
      </c>
    </row>
    <row r="161" spans="1:11" x14ac:dyDescent="0.2">
      <c r="A161">
        <v>11</v>
      </c>
      <c r="B161">
        <v>1</v>
      </c>
      <c r="D161" t="s">
        <v>7</v>
      </c>
      <c r="F161" t="s">
        <v>0</v>
      </c>
      <c r="G161" t="s">
        <v>3</v>
      </c>
      <c r="H161" t="s">
        <v>5</v>
      </c>
      <c r="I161">
        <v>2.46</v>
      </c>
      <c r="J161">
        <v>0.91</v>
      </c>
      <c r="K161" s="4" t="s">
        <v>22</v>
      </c>
    </row>
    <row r="162" spans="1:11" x14ac:dyDescent="0.2">
      <c r="A162">
        <v>11</v>
      </c>
      <c r="B162">
        <v>1</v>
      </c>
      <c r="D162" t="s">
        <v>7</v>
      </c>
      <c r="F162" t="s">
        <v>0</v>
      </c>
      <c r="G162" t="s">
        <v>3</v>
      </c>
      <c r="H162" t="s">
        <v>5</v>
      </c>
      <c r="I162">
        <v>2.33</v>
      </c>
      <c r="J162">
        <v>0.63</v>
      </c>
      <c r="K162" s="4" t="s">
        <v>22</v>
      </c>
    </row>
    <row r="163" spans="1:11" x14ac:dyDescent="0.2">
      <c r="A163">
        <v>11</v>
      </c>
      <c r="B163">
        <v>1</v>
      </c>
      <c r="D163" t="s">
        <v>7</v>
      </c>
      <c r="F163" t="s">
        <v>0</v>
      </c>
      <c r="G163" t="s">
        <v>3</v>
      </c>
      <c r="H163" t="s">
        <v>5</v>
      </c>
      <c r="I163">
        <v>1.97</v>
      </c>
      <c r="J163">
        <v>0.56999999999999995</v>
      </c>
      <c r="K163" s="4" t="s">
        <v>22</v>
      </c>
    </row>
    <row r="164" spans="1:11" x14ac:dyDescent="0.2">
      <c r="A164">
        <v>11</v>
      </c>
      <c r="B164">
        <v>1</v>
      </c>
      <c r="D164" t="s">
        <v>7</v>
      </c>
      <c r="F164" t="s">
        <v>0</v>
      </c>
      <c r="G164" t="s">
        <v>3</v>
      </c>
      <c r="H164" t="s">
        <v>5</v>
      </c>
      <c r="I164">
        <v>2.16</v>
      </c>
      <c r="J164">
        <v>0.6</v>
      </c>
      <c r="K164" s="4" t="s">
        <v>22</v>
      </c>
    </row>
    <row r="165" spans="1:11" x14ac:dyDescent="0.2">
      <c r="A165">
        <v>11</v>
      </c>
      <c r="B165">
        <v>1</v>
      </c>
      <c r="D165" t="s">
        <v>7</v>
      </c>
      <c r="F165" t="s">
        <v>0</v>
      </c>
      <c r="G165" t="s">
        <v>3</v>
      </c>
      <c r="H165" t="s">
        <v>5</v>
      </c>
      <c r="I165">
        <v>2.52</v>
      </c>
      <c r="J165">
        <v>0.9</v>
      </c>
      <c r="K165" s="4" t="s">
        <v>22</v>
      </c>
    </row>
    <row r="166" spans="1:11" x14ac:dyDescent="0.2">
      <c r="A166">
        <v>11</v>
      </c>
      <c r="B166">
        <v>1</v>
      </c>
      <c r="D166" t="s">
        <v>7</v>
      </c>
      <c r="F166" t="s">
        <v>0</v>
      </c>
      <c r="G166" t="s">
        <v>3</v>
      </c>
      <c r="H166" t="s">
        <v>5</v>
      </c>
      <c r="I166">
        <v>2.06</v>
      </c>
      <c r="J166">
        <v>0.53</v>
      </c>
      <c r="K166" s="4" t="s">
        <v>22</v>
      </c>
    </row>
    <row r="167" spans="1:11" x14ac:dyDescent="0.2">
      <c r="A167">
        <v>11</v>
      </c>
      <c r="B167">
        <v>1</v>
      </c>
      <c r="D167" t="s">
        <v>7</v>
      </c>
      <c r="F167" t="s">
        <v>0</v>
      </c>
      <c r="G167" t="s">
        <v>3</v>
      </c>
      <c r="H167" t="s">
        <v>5</v>
      </c>
      <c r="I167">
        <v>2.29</v>
      </c>
      <c r="J167">
        <v>0.64</v>
      </c>
      <c r="K167" s="4" t="s">
        <v>22</v>
      </c>
    </row>
    <row r="168" spans="1:11" x14ac:dyDescent="0.2">
      <c r="A168">
        <v>11</v>
      </c>
      <c r="B168">
        <v>1</v>
      </c>
      <c r="D168" t="s">
        <v>7</v>
      </c>
      <c r="F168" t="s">
        <v>0</v>
      </c>
      <c r="G168" t="s">
        <v>3</v>
      </c>
      <c r="H168" t="s">
        <v>5</v>
      </c>
      <c r="I168">
        <v>1.93</v>
      </c>
      <c r="J168">
        <v>0.59</v>
      </c>
      <c r="K168" s="4" t="s">
        <v>22</v>
      </c>
    </row>
    <row r="169" spans="1:11" x14ac:dyDescent="0.2">
      <c r="A169">
        <v>11</v>
      </c>
      <c r="B169">
        <v>1</v>
      </c>
      <c r="D169" t="s">
        <v>7</v>
      </c>
      <c r="F169" t="s">
        <v>0</v>
      </c>
      <c r="G169" t="s">
        <v>3</v>
      </c>
      <c r="H169" t="s">
        <v>5</v>
      </c>
      <c r="I169">
        <v>2.44</v>
      </c>
      <c r="J169">
        <v>0.67</v>
      </c>
      <c r="K169" s="4" t="s">
        <v>22</v>
      </c>
    </row>
    <row r="170" spans="1:11" x14ac:dyDescent="0.2">
      <c r="A170">
        <v>11</v>
      </c>
      <c r="B170">
        <v>1</v>
      </c>
      <c r="D170" t="s">
        <v>7</v>
      </c>
      <c r="F170" t="s">
        <v>0</v>
      </c>
      <c r="G170" t="s">
        <v>3</v>
      </c>
      <c r="H170" t="s">
        <v>5</v>
      </c>
      <c r="I170">
        <v>2.2599999999999998</v>
      </c>
      <c r="J170">
        <v>0.72</v>
      </c>
      <c r="K170" s="4" t="s">
        <v>22</v>
      </c>
    </row>
    <row r="171" spans="1:11" x14ac:dyDescent="0.2">
      <c r="A171">
        <v>11</v>
      </c>
      <c r="B171">
        <v>1</v>
      </c>
      <c r="D171" t="s">
        <v>7</v>
      </c>
      <c r="F171" t="s">
        <v>0</v>
      </c>
      <c r="G171" t="s">
        <v>3</v>
      </c>
      <c r="H171" t="s">
        <v>5</v>
      </c>
      <c r="I171">
        <v>2.4300000000000002</v>
      </c>
      <c r="J171">
        <v>0.78</v>
      </c>
      <c r="K171" s="4" t="s">
        <v>22</v>
      </c>
    </row>
    <row r="172" spans="1:11" x14ac:dyDescent="0.2">
      <c r="A172">
        <v>11</v>
      </c>
      <c r="B172">
        <v>1</v>
      </c>
      <c r="D172" t="s">
        <v>7</v>
      </c>
      <c r="F172" t="s">
        <v>0</v>
      </c>
      <c r="G172" t="s">
        <v>3</v>
      </c>
      <c r="H172" t="s">
        <v>5</v>
      </c>
      <c r="I172">
        <v>2.3199999999999998</v>
      </c>
      <c r="J172">
        <v>0.83</v>
      </c>
      <c r="K172" s="4" t="s">
        <v>22</v>
      </c>
    </row>
    <row r="173" spans="1:11" x14ac:dyDescent="0.2">
      <c r="A173">
        <v>11</v>
      </c>
      <c r="B173">
        <v>1</v>
      </c>
      <c r="D173" t="s">
        <v>7</v>
      </c>
      <c r="F173" t="s">
        <v>0</v>
      </c>
      <c r="G173" t="s">
        <v>3</v>
      </c>
      <c r="H173" t="s">
        <v>5</v>
      </c>
      <c r="I173">
        <v>1.98</v>
      </c>
      <c r="J173">
        <v>0.54</v>
      </c>
      <c r="K173" s="4" t="s">
        <v>22</v>
      </c>
    </row>
    <row r="174" spans="1:11" x14ac:dyDescent="0.2">
      <c r="A174">
        <v>11</v>
      </c>
      <c r="B174">
        <v>1</v>
      </c>
      <c r="D174" t="s">
        <v>7</v>
      </c>
      <c r="F174" t="s">
        <v>0</v>
      </c>
      <c r="G174" t="s">
        <v>3</v>
      </c>
      <c r="H174" t="s">
        <v>5</v>
      </c>
      <c r="I174">
        <v>2.41</v>
      </c>
      <c r="J174">
        <v>0.81</v>
      </c>
      <c r="K174" s="4" t="s">
        <v>22</v>
      </c>
    </row>
    <row r="175" spans="1:11" x14ac:dyDescent="0.2">
      <c r="A175">
        <v>11</v>
      </c>
      <c r="B175">
        <v>1</v>
      </c>
      <c r="D175" t="s">
        <v>7</v>
      </c>
      <c r="F175" t="s">
        <v>0</v>
      </c>
      <c r="G175" t="s">
        <v>3</v>
      </c>
      <c r="H175" t="s">
        <v>5</v>
      </c>
      <c r="I175">
        <v>2.38</v>
      </c>
      <c r="J175">
        <v>0.73</v>
      </c>
      <c r="K175" t="s">
        <v>23</v>
      </c>
    </row>
    <row r="176" spans="1:11" x14ac:dyDescent="0.2">
      <c r="A176">
        <v>11</v>
      </c>
      <c r="B176">
        <v>1</v>
      </c>
      <c r="D176" t="s">
        <v>7</v>
      </c>
      <c r="F176" t="s">
        <v>0</v>
      </c>
      <c r="G176" t="s">
        <v>3</v>
      </c>
      <c r="H176" t="s">
        <v>5</v>
      </c>
      <c r="I176">
        <v>2.37</v>
      </c>
      <c r="J176">
        <v>0.73</v>
      </c>
      <c r="K176" t="s">
        <v>23</v>
      </c>
    </row>
    <row r="177" spans="1:11" x14ac:dyDescent="0.2">
      <c r="A177">
        <v>11</v>
      </c>
      <c r="B177">
        <v>1</v>
      </c>
      <c r="D177" t="s">
        <v>7</v>
      </c>
      <c r="F177" t="s">
        <v>0</v>
      </c>
      <c r="G177" t="s">
        <v>3</v>
      </c>
      <c r="H177" t="s">
        <v>5</v>
      </c>
      <c r="I177">
        <v>2.4700000000000002</v>
      </c>
      <c r="J177">
        <v>0.85</v>
      </c>
      <c r="K177" t="s">
        <v>23</v>
      </c>
    </row>
    <row r="178" spans="1:11" x14ac:dyDescent="0.2">
      <c r="A178">
        <v>11</v>
      </c>
      <c r="B178">
        <v>1</v>
      </c>
      <c r="D178" t="s">
        <v>7</v>
      </c>
      <c r="F178" t="s">
        <v>0</v>
      </c>
      <c r="G178" t="s">
        <v>3</v>
      </c>
      <c r="H178" t="s">
        <v>5</v>
      </c>
      <c r="I178">
        <v>2.0699999999999998</v>
      </c>
      <c r="J178">
        <v>0.69</v>
      </c>
      <c r="K178" t="s">
        <v>23</v>
      </c>
    </row>
    <row r="179" spans="1:11" x14ac:dyDescent="0.2">
      <c r="A179">
        <v>11</v>
      </c>
      <c r="B179">
        <v>1</v>
      </c>
      <c r="D179" t="s">
        <v>7</v>
      </c>
      <c r="F179" t="s">
        <v>0</v>
      </c>
      <c r="G179" t="s">
        <v>3</v>
      </c>
      <c r="H179" t="s">
        <v>5</v>
      </c>
      <c r="I179">
        <v>2.0699999999999998</v>
      </c>
      <c r="J179">
        <v>0.63</v>
      </c>
      <c r="K179" t="s">
        <v>23</v>
      </c>
    </row>
    <row r="180" spans="1:11" x14ac:dyDescent="0.2">
      <c r="A180">
        <v>11</v>
      </c>
      <c r="B180">
        <v>1</v>
      </c>
      <c r="D180" t="s">
        <v>7</v>
      </c>
      <c r="F180" t="s">
        <v>0</v>
      </c>
      <c r="G180" t="s">
        <v>3</v>
      </c>
      <c r="H180" t="s">
        <v>5</v>
      </c>
      <c r="I180">
        <v>1.92</v>
      </c>
      <c r="J180">
        <v>0.57999999999999996</v>
      </c>
      <c r="K180" t="s">
        <v>23</v>
      </c>
    </row>
    <row r="181" spans="1:11" x14ac:dyDescent="0.2">
      <c r="A181">
        <v>11</v>
      </c>
      <c r="B181">
        <v>1</v>
      </c>
      <c r="D181" t="s">
        <v>7</v>
      </c>
      <c r="F181" t="s">
        <v>0</v>
      </c>
      <c r="G181" t="s">
        <v>3</v>
      </c>
      <c r="H181" t="s">
        <v>5</v>
      </c>
      <c r="I181">
        <v>2.0299999999999998</v>
      </c>
      <c r="J181">
        <v>0.6</v>
      </c>
      <c r="K181" t="s">
        <v>23</v>
      </c>
    </row>
    <row r="182" spans="1:11" x14ac:dyDescent="0.2">
      <c r="A182">
        <v>11</v>
      </c>
      <c r="B182">
        <v>1</v>
      </c>
      <c r="D182" t="s">
        <v>7</v>
      </c>
      <c r="F182" t="s">
        <v>0</v>
      </c>
      <c r="G182" t="s">
        <v>3</v>
      </c>
      <c r="H182" t="s">
        <v>5</v>
      </c>
      <c r="I182">
        <v>2.31</v>
      </c>
      <c r="J182">
        <v>0.7</v>
      </c>
      <c r="K182" t="s">
        <v>23</v>
      </c>
    </row>
    <row r="183" spans="1:11" x14ac:dyDescent="0.2">
      <c r="A183">
        <v>11</v>
      </c>
      <c r="B183">
        <v>1</v>
      </c>
      <c r="D183" t="s">
        <v>7</v>
      </c>
      <c r="F183" t="s">
        <v>0</v>
      </c>
      <c r="G183" t="s">
        <v>3</v>
      </c>
      <c r="H183" t="s">
        <v>5</v>
      </c>
      <c r="I183">
        <v>1.96</v>
      </c>
      <c r="J183">
        <v>0.55000000000000004</v>
      </c>
      <c r="K183" t="s">
        <v>23</v>
      </c>
    </row>
    <row r="184" spans="1:11" x14ac:dyDescent="0.2">
      <c r="A184">
        <v>11</v>
      </c>
      <c r="B184">
        <v>1</v>
      </c>
      <c r="D184" t="s">
        <v>7</v>
      </c>
      <c r="F184" t="s">
        <v>0</v>
      </c>
      <c r="G184" t="s">
        <v>3</v>
      </c>
      <c r="H184" t="s">
        <v>5</v>
      </c>
      <c r="I184">
        <v>2.34</v>
      </c>
      <c r="J184">
        <v>0.73</v>
      </c>
      <c r="K184" t="s">
        <v>23</v>
      </c>
    </row>
    <row r="185" spans="1:11" x14ac:dyDescent="0.2">
      <c r="A185">
        <v>11</v>
      </c>
      <c r="B185">
        <v>1</v>
      </c>
      <c r="D185" t="s">
        <v>7</v>
      </c>
      <c r="F185" t="s">
        <v>0</v>
      </c>
      <c r="G185" t="s">
        <v>3</v>
      </c>
      <c r="H185" t="s">
        <v>5</v>
      </c>
      <c r="I185">
        <v>2.34</v>
      </c>
      <c r="J185">
        <v>0.71</v>
      </c>
      <c r="K185" t="s">
        <v>23</v>
      </c>
    </row>
    <row r="186" spans="1:11" x14ac:dyDescent="0.2">
      <c r="A186">
        <v>11</v>
      </c>
      <c r="B186">
        <v>1</v>
      </c>
      <c r="D186" t="s">
        <v>7</v>
      </c>
      <c r="F186" t="s">
        <v>0</v>
      </c>
      <c r="G186" t="s">
        <v>3</v>
      </c>
      <c r="H186" t="s">
        <v>5</v>
      </c>
      <c r="I186">
        <v>2</v>
      </c>
      <c r="J186">
        <v>0.57999999999999996</v>
      </c>
      <c r="K186" t="s">
        <v>23</v>
      </c>
    </row>
    <row r="187" spans="1:11" x14ac:dyDescent="0.2">
      <c r="A187">
        <v>11</v>
      </c>
      <c r="B187">
        <v>1</v>
      </c>
      <c r="D187" t="s">
        <v>7</v>
      </c>
      <c r="F187" t="s">
        <v>0</v>
      </c>
      <c r="G187" t="s">
        <v>3</v>
      </c>
      <c r="H187" t="s">
        <v>5</v>
      </c>
      <c r="I187">
        <v>2.34</v>
      </c>
      <c r="J187">
        <v>0.68</v>
      </c>
      <c r="K187" t="s">
        <v>23</v>
      </c>
    </row>
    <row r="188" spans="1:11" x14ac:dyDescent="0.2">
      <c r="A188">
        <v>11</v>
      </c>
      <c r="B188">
        <v>1</v>
      </c>
      <c r="D188" t="s">
        <v>7</v>
      </c>
      <c r="F188" t="s">
        <v>0</v>
      </c>
      <c r="G188" t="s">
        <v>3</v>
      </c>
      <c r="H188" t="s">
        <v>5</v>
      </c>
      <c r="I188">
        <v>2.19</v>
      </c>
      <c r="J188">
        <v>0.64</v>
      </c>
      <c r="K188" t="s">
        <v>23</v>
      </c>
    </row>
    <row r="189" spans="1:11" x14ac:dyDescent="0.2">
      <c r="A189">
        <v>11</v>
      </c>
      <c r="B189">
        <v>1</v>
      </c>
      <c r="D189" t="s">
        <v>7</v>
      </c>
      <c r="F189" t="s">
        <v>0</v>
      </c>
      <c r="G189" t="s">
        <v>3</v>
      </c>
      <c r="H189" t="s">
        <v>5</v>
      </c>
      <c r="I189">
        <v>2.06</v>
      </c>
      <c r="J189">
        <v>0.6</v>
      </c>
      <c r="K189" t="s">
        <v>23</v>
      </c>
    </row>
    <row r="190" spans="1:11" x14ac:dyDescent="0.2">
      <c r="A190">
        <v>11</v>
      </c>
      <c r="B190">
        <v>1</v>
      </c>
      <c r="D190" t="s">
        <v>7</v>
      </c>
      <c r="F190" t="s">
        <v>0</v>
      </c>
      <c r="G190" t="s">
        <v>3</v>
      </c>
      <c r="H190" t="s">
        <v>5</v>
      </c>
      <c r="I190">
        <v>2.19</v>
      </c>
      <c r="J190">
        <v>0.63</v>
      </c>
      <c r="K190" t="s">
        <v>23</v>
      </c>
    </row>
    <row r="191" spans="1:11" x14ac:dyDescent="0.2">
      <c r="A191">
        <v>11</v>
      </c>
      <c r="B191">
        <v>1</v>
      </c>
      <c r="D191" t="s">
        <v>7</v>
      </c>
      <c r="F191" t="s">
        <v>0</v>
      </c>
      <c r="G191" t="s">
        <v>3</v>
      </c>
      <c r="H191" t="s">
        <v>5</v>
      </c>
      <c r="I191">
        <v>1.96</v>
      </c>
      <c r="J191">
        <v>0.67</v>
      </c>
      <c r="K191" t="s">
        <v>23</v>
      </c>
    </row>
    <row r="192" spans="1:11" x14ac:dyDescent="0.2">
      <c r="A192">
        <v>11</v>
      </c>
      <c r="B192">
        <v>1</v>
      </c>
      <c r="D192" t="s">
        <v>7</v>
      </c>
      <c r="F192" t="s">
        <v>0</v>
      </c>
      <c r="G192" t="s">
        <v>3</v>
      </c>
      <c r="H192" t="s">
        <v>5</v>
      </c>
      <c r="I192">
        <v>2.16</v>
      </c>
      <c r="J192">
        <v>0.66</v>
      </c>
      <c r="K192" t="s">
        <v>23</v>
      </c>
    </row>
    <row r="193" spans="1:11" x14ac:dyDescent="0.2">
      <c r="A193">
        <v>11</v>
      </c>
      <c r="B193">
        <v>1</v>
      </c>
      <c r="D193" t="s">
        <v>7</v>
      </c>
      <c r="F193" t="s">
        <v>0</v>
      </c>
      <c r="G193" t="s">
        <v>3</v>
      </c>
      <c r="H193" t="s">
        <v>5</v>
      </c>
      <c r="I193">
        <v>2.4</v>
      </c>
      <c r="J193">
        <v>0.74</v>
      </c>
      <c r="K193" s="4" t="s">
        <v>24</v>
      </c>
    </row>
    <row r="194" spans="1:11" x14ac:dyDescent="0.2">
      <c r="A194">
        <v>11</v>
      </c>
      <c r="B194">
        <v>1</v>
      </c>
      <c r="D194" t="s">
        <v>7</v>
      </c>
      <c r="F194" t="s">
        <v>0</v>
      </c>
      <c r="G194" t="s">
        <v>3</v>
      </c>
      <c r="H194" t="s">
        <v>5</v>
      </c>
      <c r="I194">
        <v>2.23</v>
      </c>
      <c r="J194">
        <v>0.66</v>
      </c>
      <c r="K194" s="4" t="s">
        <v>24</v>
      </c>
    </row>
    <row r="195" spans="1:11" x14ac:dyDescent="0.2">
      <c r="A195">
        <v>11</v>
      </c>
      <c r="B195">
        <v>1</v>
      </c>
      <c r="D195" t="s">
        <v>7</v>
      </c>
      <c r="F195" t="s">
        <v>0</v>
      </c>
      <c r="G195" t="s">
        <v>3</v>
      </c>
      <c r="H195" t="s">
        <v>5</v>
      </c>
      <c r="I195">
        <v>2.37</v>
      </c>
      <c r="J195">
        <v>0.7</v>
      </c>
      <c r="K195" s="4" t="s">
        <v>24</v>
      </c>
    </row>
    <row r="196" spans="1:11" x14ac:dyDescent="0.2">
      <c r="A196">
        <v>11</v>
      </c>
      <c r="B196">
        <v>1</v>
      </c>
      <c r="D196" t="s">
        <v>7</v>
      </c>
      <c r="F196" t="s">
        <v>0</v>
      </c>
      <c r="G196" t="s">
        <v>3</v>
      </c>
      <c r="H196" t="s">
        <v>5</v>
      </c>
      <c r="I196">
        <v>2.1800000000000002</v>
      </c>
      <c r="J196">
        <v>0.69</v>
      </c>
      <c r="K196" s="4" t="s">
        <v>24</v>
      </c>
    </row>
    <row r="197" spans="1:11" x14ac:dyDescent="0.2">
      <c r="A197">
        <v>11</v>
      </c>
      <c r="B197">
        <v>1</v>
      </c>
      <c r="D197" t="s">
        <v>7</v>
      </c>
      <c r="F197" t="s">
        <v>0</v>
      </c>
      <c r="G197" t="s">
        <v>3</v>
      </c>
      <c r="H197" t="s">
        <v>5</v>
      </c>
      <c r="I197">
        <v>2.4300000000000002</v>
      </c>
      <c r="J197">
        <v>0.79</v>
      </c>
      <c r="K197" s="4" t="s">
        <v>24</v>
      </c>
    </row>
    <row r="198" spans="1:11" x14ac:dyDescent="0.2">
      <c r="A198">
        <v>11</v>
      </c>
      <c r="B198">
        <v>1</v>
      </c>
      <c r="D198" t="s">
        <v>7</v>
      </c>
      <c r="F198" t="s">
        <v>0</v>
      </c>
      <c r="G198" t="s">
        <v>3</v>
      </c>
      <c r="H198" t="s">
        <v>5</v>
      </c>
      <c r="I198">
        <v>2.37</v>
      </c>
      <c r="J198">
        <v>0.76</v>
      </c>
      <c r="K198" s="4" t="s">
        <v>24</v>
      </c>
    </row>
    <row r="199" spans="1:11" x14ac:dyDescent="0.2">
      <c r="A199">
        <v>11</v>
      </c>
      <c r="B199">
        <v>1</v>
      </c>
      <c r="D199" t="s">
        <v>7</v>
      </c>
      <c r="F199" t="s">
        <v>0</v>
      </c>
      <c r="G199" t="s">
        <v>3</v>
      </c>
      <c r="H199" t="s">
        <v>5</v>
      </c>
      <c r="I199">
        <v>1.96</v>
      </c>
      <c r="J199">
        <v>0.55000000000000004</v>
      </c>
      <c r="K199" s="4" t="s">
        <v>24</v>
      </c>
    </row>
    <row r="200" spans="1:11" x14ac:dyDescent="0.2">
      <c r="A200">
        <v>11</v>
      </c>
      <c r="B200">
        <v>1</v>
      </c>
      <c r="D200" t="s">
        <v>7</v>
      </c>
      <c r="F200" t="s">
        <v>0</v>
      </c>
      <c r="G200" t="s">
        <v>3</v>
      </c>
      <c r="H200" t="s">
        <v>5</v>
      </c>
      <c r="I200">
        <v>2.12</v>
      </c>
      <c r="J200">
        <v>0.6</v>
      </c>
      <c r="K200" s="4" t="s">
        <v>24</v>
      </c>
    </row>
    <row r="201" spans="1:11" x14ac:dyDescent="0.2">
      <c r="A201">
        <v>11</v>
      </c>
      <c r="B201">
        <v>1</v>
      </c>
      <c r="D201" t="s">
        <v>7</v>
      </c>
      <c r="F201" t="s">
        <v>0</v>
      </c>
      <c r="G201" t="s">
        <v>3</v>
      </c>
      <c r="H201" t="s">
        <v>5</v>
      </c>
      <c r="I201">
        <v>2</v>
      </c>
      <c r="J201">
        <v>0.61</v>
      </c>
      <c r="K201" s="4" t="s">
        <v>24</v>
      </c>
    </row>
    <row r="202" spans="1:11" x14ac:dyDescent="0.2">
      <c r="A202">
        <v>11</v>
      </c>
      <c r="B202">
        <v>1</v>
      </c>
      <c r="D202" t="s">
        <v>7</v>
      </c>
      <c r="F202" t="s">
        <v>0</v>
      </c>
      <c r="G202" t="s">
        <v>3</v>
      </c>
      <c r="H202" t="s">
        <v>5</v>
      </c>
      <c r="I202">
        <v>2.3199999999999998</v>
      </c>
      <c r="J202">
        <v>0.71</v>
      </c>
      <c r="K202" s="4" t="s">
        <v>24</v>
      </c>
    </row>
    <row r="203" spans="1:11" x14ac:dyDescent="0.2">
      <c r="A203">
        <v>11</v>
      </c>
      <c r="B203">
        <v>1</v>
      </c>
      <c r="D203" t="s">
        <v>7</v>
      </c>
      <c r="F203" t="s">
        <v>0</v>
      </c>
      <c r="G203" t="s">
        <v>3</v>
      </c>
      <c r="H203" t="s">
        <v>5</v>
      </c>
      <c r="I203">
        <v>2.21</v>
      </c>
      <c r="J203">
        <v>0.73</v>
      </c>
      <c r="K203" s="4" t="s">
        <v>24</v>
      </c>
    </row>
    <row r="204" spans="1:11" x14ac:dyDescent="0.2">
      <c r="A204">
        <v>11</v>
      </c>
      <c r="B204">
        <v>1</v>
      </c>
      <c r="D204" t="s">
        <v>7</v>
      </c>
      <c r="F204" t="s">
        <v>0</v>
      </c>
      <c r="G204" t="s">
        <v>3</v>
      </c>
      <c r="H204" t="s">
        <v>5</v>
      </c>
      <c r="I204">
        <v>2.08</v>
      </c>
      <c r="J204">
        <v>0.59</v>
      </c>
      <c r="K204" s="4" t="s">
        <v>24</v>
      </c>
    </row>
    <row r="205" spans="1:11" x14ac:dyDescent="0.2">
      <c r="A205">
        <v>11</v>
      </c>
      <c r="B205">
        <v>1</v>
      </c>
      <c r="D205" t="s">
        <v>7</v>
      </c>
      <c r="F205" t="s">
        <v>0</v>
      </c>
      <c r="G205" t="s">
        <v>3</v>
      </c>
      <c r="H205" t="s">
        <v>5</v>
      </c>
      <c r="I205">
        <v>2.4</v>
      </c>
      <c r="J205">
        <v>0.66</v>
      </c>
      <c r="K205" s="4" t="s">
        <v>24</v>
      </c>
    </row>
    <row r="206" spans="1:11" x14ac:dyDescent="0.2">
      <c r="A206">
        <v>11</v>
      </c>
      <c r="B206">
        <v>1</v>
      </c>
      <c r="D206" t="s">
        <v>7</v>
      </c>
      <c r="F206" t="s">
        <v>0</v>
      </c>
      <c r="G206" t="s">
        <v>3</v>
      </c>
      <c r="H206" t="s">
        <v>5</v>
      </c>
      <c r="I206">
        <v>2.1800000000000002</v>
      </c>
      <c r="J206">
        <v>0.67</v>
      </c>
      <c r="K206" s="4" t="s">
        <v>24</v>
      </c>
    </row>
    <row r="207" spans="1:11" x14ac:dyDescent="0.2">
      <c r="A207">
        <v>11</v>
      </c>
      <c r="B207">
        <v>1</v>
      </c>
      <c r="D207" t="s">
        <v>7</v>
      </c>
      <c r="F207" t="s">
        <v>0</v>
      </c>
      <c r="G207" t="s">
        <v>3</v>
      </c>
      <c r="H207" t="s">
        <v>5</v>
      </c>
      <c r="I207">
        <v>2.15</v>
      </c>
      <c r="J207">
        <v>0.65</v>
      </c>
      <c r="K207" s="4" t="s">
        <v>24</v>
      </c>
    </row>
    <row r="208" spans="1:11" x14ac:dyDescent="0.2">
      <c r="A208">
        <v>11</v>
      </c>
      <c r="B208">
        <v>1</v>
      </c>
      <c r="D208" t="s">
        <v>7</v>
      </c>
      <c r="F208" t="s">
        <v>0</v>
      </c>
      <c r="G208" t="s">
        <v>3</v>
      </c>
      <c r="H208" t="s">
        <v>5</v>
      </c>
      <c r="I208">
        <v>2.06</v>
      </c>
      <c r="J208">
        <v>0.68</v>
      </c>
      <c r="K208" s="4" t="s">
        <v>25</v>
      </c>
    </row>
    <row r="209" spans="1:11" x14ac:dyDescent="0.2">
      <c r="A209">
        <v>11</v>
      </c>
      <c r="B209">
        <v>1</v>
      </c>
      <c r="D209" t="s">
        <v>7</v>
      </c>
      <c r="F209" t="s">
        <v>0</v>
      </c>
      <c r="G209" t="s">
        <v>3</v>
      </c>
      <c r="H209" t="s">
        <v>5</v>
      </c>
      <c r="I209">
        <v>2.3199999999999998</v>
      </c>
      <c r="J209">
        <v>0.73</v>
      </c>
      <c r="K209" s="4" t="s">
        <v>25</v>
      </c>
    </row>
    <row r="210" spans="1:11" x14ac:dyDescent="0.2">
      <c r="A210">
        <v>11</v>
      </c>
      <c r="B210">
        <v>1</v>
      </c>
      <c r="D210" t="s">
        <v>7</v>
      </c>
      <c r="F210" t="s">
        <v>0</v>
      </c>
      <c r="G210" t="s">
        <v>3</v>
      </c>
      <c r="H210" t="s">
        <v>5</v>
      </c>
      <c r="I210">
        <v>1.82</v>
      </c>
      <c r="J210">
        <v>0.56999999999999995</v>
      </c>
      <c r="K210" s="4" t="s">
        <v>25</v>
      </c>
    </row>
    <row r="211" spans="1:11" x14ac:dyDescent="0.2">
      <c r="A211">
        <v>11</v>
      </c>
      <c r="B211">
        <v>1</v>
      </c>
      <c r="D211" t="s">
        <v>7</v>
      </c>
      <c r="F211" t="s">
        <v>0</v>
      </c>
      <c r="G211" t="s">
        <v>3</v>
      </c>
      <c r="H211" t="s">
        <v>5</v>
      </c>
      <c r="I211">
        <v>2.06</v>
      </c>
      <c r="J211">
        <v>0.61</v>
      </c>
      <c r="K211" s="4" t="s">
        <v>25</v>
      </c>
    </row>
    <row r="212" spans="1:11" x14ac:dyDescent="0.2">
      <c r="A212">
        <v>11</v>
      </c>
      <c r="B212">
        <v>1</v>
      </c>
      <c r="D212" t="s">
        <v>7</v>
      </c>
      <c r="F212" t="s">
        <v>0</v>
      </c>
      <c r="G212" t="s">
        <v>3</v>
      </c>
      <c r="H212" t="s">
        <v>5</v>
      </c>
      <c r="I212">
        <v>2.13</v>
      </c>
      <c r="J212">
        <v>0.65</v>
      </c>
      <c r="K212" s="4" t="s">
        <v>25</v>
      </c>
    </row>
    <row r="213" spans="1:11" x14ac:dyDescent="0.2">
      <c r="A213">
        <v>11</v>
      </c>
      <c r="B213">
        <v>1</v>
      </c>
      <c r="D213" t="s">
        <v>7</v>
      </c>
      <c r="F213" t="s">
        <v>0</v>
      </c>
      <c r="G213" t="s">
        <v>3</v>
      </c>
      <c r="H213" t="s">
        <v>5</v>
      </c>
      <c r="I213">
        <v>2.12</v>
      </c>
      <c r="J213">
        <v>0.66</v>
      </c>
      <c r="K213" s="4" t="s">
        <v>25</v>
      </c>
    </row>
    <row r="214" spans="1:11" x14ac:dyDescent="0.2">
      <c r="A214">
        <v>11</v>
      </c>
      <c r="B214">
        <v>1</v>
      </c>
      <c r="D214" t="s">
        <v>7</v>
      </c>
      <c r="F214" t="s">
        <v>0</v>
      </c>
      <c r="G214" t="s">
        <v>3</v>
      </c>
      <c r="H214" t="s">
        <v>5</v>
      </c>
      <c r="I214">
        <v>2.25</v>
      </c>
      <c r="J214">
        <v>0.77</v>
      </c>
      <c r="K214" s="4" t="s">
        <v>25</v>
      </c>
    </row>
    <row r="215" spans="1:11" x14ac:dyDescent="0.2">
      <c r="A215">
        <v>11</v>
      </c>
      <c r="B215">
        <v>1</v>
      </c>
      <c r="D215" t="s">
        <v>7</v>
      </c>
      <c r="F215" t="s">
        <v>0</v>
      </c>
      <c r="G215" t="s">
        <v>3</v>
      </c>
      <c r="H215" t="s">
        <v>5</v>
      </c>
      <c r="I215">
        <v>2.46</v>
      </c>
      <c r="J215">
        <v>0.72</v>
      </c>
      <c r="K215" s="4" t="s">
        <v>25</v>
      </c>
    </row>
    <row r="216" spans="1:11" x14ac:dyDescent="0.2">
      <c r="A216">
        <v>11</v>
      </c>
      <c r="B216">
        <v>1</v>
      </c>
      <c r="D216" t="s">
        <v>7</v>
      </c>
      <c r="F216" t="s">
        <v>0</v>
      </c>
      <c r="G216" t="s">
        <v>3</v>
      </c>
      <c r="H216" t="s">
        <v>5</v>
      </c>
      <c r="I216">
        <v>2.0499999999999998</v>
      </c>
      <c r="J216">
        <v>0.46</v>
      </c>
      <c r="K216" s="4" t="s">
        <v>25</v>
      </c>
    </row>
    <row r="217" spans="1:11" x14ac:dyDescent="0.2">
      <c r="A217">
        <v>11</v>
      </c>
      <c r="B217">
        <v>1</v>
      </c>
      <c r="D217" t="s">
        <v>7</v>
      </c>
      <c r="F217" t="s">
        <v>0</v>
      </c>
      <c r="G217" t="s">
        <v>3</v>
      </c>
      <c r="H217" t="s">
        <v>5</v>
      </c>
      <c r="I217">
        <v>2.2400000000000002</v>
      </c>
      <c r="J217">
        <v>0.67</v>
      </c>
      <c r="K217" s="4" t="s">
        <v>25</v>
      </c>
    </row>
    <row r="218" spans="1:11" x14ac:dyDescent="0.2">
      <c r="A218">
        <v>11</v>
      </c>
      <c r="B218">
        <v>1</v>
      </c>
      <c r="D218" t="s">
        <v>7</v>
      </c>
      <c r="F218" t="s">
        <v>0</v>
      </c>
      <c r="G218" t="s">
        <v>3</v>
      </c>
      <c r="H218" t="s">
        <v>5</v>
      </c>
      <c r="I218">
        <v>1.96</v>
      </c>
      <c r="J218">
        <v>0.59</v>
      </c>
      <c r="K218" s="4" t="s">
        <v>25</v>
      </c>
    </row>
    <row r="219" spans="1:11" x14ac:dyDescent="0.2">
      <c r="A219">
        <v>11</v>
      </c>
      <c r="B219">
        <v>1</v>
      </c>
      <c r="D219" t="s">
        <v>7</v>
      </c>
      <c r="F219" t="s">
        <v>0</v>
      </c>
      <c r="G219" t="s">
        <v>3</v>
      </c>
      <c r="H219" t="s">
        <v>5</v>
      </c>
      <c r="I219">
        <v>2.31</v>
      </c>
      <c r="J219">
        <v>0.74</v>
      </c>
      <c r="K219" s="4" t="s">
        <v>25</v>
      </c>
    </row>
    <row r="220" spans="1:11" x14ac:dyDescent="0.2">
      <c r="A220">
        <v>11</v>
      </c>
      <c r="B220">
        <v>1</v>
      </c>
      <c r="D220" t="s">
        <v>7</v>
      </c>
      <c r="F220" t="s">
        <v>0</v>
      </c>
      <c r="G220" t="s">
        <v>3</v>
      </c>
      <c r="H220" t="s">
        <v>5</v>
      </c>
      <c r="I220">
        <v>2.52</v>
      </c>
      <c r="J220">
        <v>0.83</v>
      </c>
      <c r="K220" s="4" t="s">
        <v>25</v>
      </c>
    </row>
    <row r="221" spans="1:11" x14ac:dyDescent="0.2">
      <c r="A221">
        <v>11</v>
      </c>
      <c r="B221">
        <v>1</v>
      </c>
      <c r="D221" t="s">
        <v>7</v>
      </c>
      <c r="F221" t="s">
        <v>0</v>
      </c>
      <c r="G221" t="s">
        <v>3</v>
      </c>
      <c r="H221" t="s">
        <v>5</v>
      </c>
      <c r="I221">
        <v>2.0699999999999998</v>
      </c>
      <c r="J221">
        <v>0.62</v>
      </c>
      <c r="K221" s="4" t="s">
        <v>25</v>
      </c>
    </row>
    <row r="222" spans="1:11" x14ac:dyDescent="0.2">
      <c r="A222">
        <v>11</v>
      </c>
      <c r="B222">
        <v>1</v>
      </c>
      <c r="D222" t="s">
        <v>7</v>
      </c>
      <c r="F222" t="s">
        <v>0</v>
      </c>
      <c r="G222" t="s">
        <v>3</v>
      </c>
      <c r="H222" t="s">
        <v>5</v>
      </c>
      <c r="I222">
        <v>1.93</v>
      </c>
      <c r="J222">
        <v>0.57999999999999996</v>
      </c>
      <c r="K222" s="4" t="s">
        <v>26</v>
      </c>
    </row>
    <row r="223" spans="1:11" x14ac:dyDescent="0.2">
      <c r="A223">
        <v>11</v>
      </c>
      <c r="B223">
        <v>1</v>
      </c>
      <c r="D223" t="s">
        <v>7</v>
      </c>
      <c r="F223" t="s">
        <v>0</v>
      </c>
      <c r="G223" t="s">
        <v>3</v>
      </c>
      <c r="H223" t="s">
        <v>5</v>
      </c>
      <c r="I223">
        <v>2.06</v>
      </c>
      <c r="J223">
        <v>0.63</v>
      </c>
      <c r="K223" s="4" t="s">
        <v>26</v>
      </c>
    </row>
    <row r="224" spans="1:11" x14ac:dyDescent="0.2">
      <c r="A224">
        <v>11</v>
      </c>
      <c r="B224">
        <v>1</v>
      </c>
      <c r="D224" t="s">
        <v>7</v>
      </c>
      <c r="F224" t="s">
        <v>0</v>
      </c>
      <c r="G224" t="s">
        <v>3</v>
      </c>
      <c r="H224" t="s">
        <v>5</v>
      </c>
      <c r="I224">
        <v>2.23</v>
      </c>
      <c r="J224">
        <v>0.66</v>
      </c>
      <c r="K224" s="4" t="s">
        <v>26</v>
      </c>
    </row>
    <row r="225" spans="1:11" x14ac:dyDescent="0.2">
      <c r="A225">
        <v>11</v>
      </c>
      <c r="B225">
        <v>1</v>
      </c>
      <c r="D225" t="s">
        <v>7</v>
      </c>
      <c r="F225" t="s">
        <v>0</v>
      </c>
      <c r="G225" t="s">
        <v>3</v>
      </c>
      <c r="H225" t="s">
        <v>5</v>
      </c>
      <c r="I225">
        <v>2.27</v>
      </c>
      <c r="J225">
        <v>0.7</v>
      </c>
      <c r="K225" s="4" t="s">
        <v>26</v>
      </c>
    </row>
    <row r="226" spans="1:11" x14ac:dyDescent="0.2">
      <c r="A226">
        <v>11</v>
      </c>
      <c r="B226">
        <v>1</v>
      </c>
      <c r="D226" t="s">
        <v>7</v>
      </c>
      <c r="F226" t="s">
        <v>0</v>
      </c>
      <c r="G226" t="s">
        <v>3</v>
      </c>
      <c r="H226" t="s">
        <v>5</v>
      </c>
      <c r="I226">
        <v>2.25</v>
      </c>
      <c r="J226">
        <v>0.69</v>
      </c>
      <c r="K226" s="4" t="s">
        <v>26</v>
      </c>
    </row>
    <row r="227" spans="1:11" x14ac:dyDescent="0.2">
      <c r="A227">
        <v>11</v>
      </c>
      <c r="B227">
        <v>1</v>
      </c>
      <c r="D227" t="s">
        <v>7</v>
      </c>
      <c r="F227" t="s">
        <v>0</v>
      </c>
      <c r="G227" t="s">
        <v>3</v>
      </c>
      <c r="H227" t="s">
        <v>5</v>
      </c>
      <c r="I227">
        <v>2.39</v>
      </c>
      <c r="J227">
        <v>0.72</v>
      </c>
      <c r="K227" s="4" t="s">
        <v>26</v>
      </c>
    </row>
    <row r="228" spans="1:11" x14ac:dyDescent="0.2">
      <c r="A228">
        <v>11</v>
      </c>
      <c r="B228">
        <v>1</v>
      </c>
      <c r="D228" t="s">
        <v>7</v>
      </c>
      <c r="F228" t="s">
        <v>0</v>
      </c>
      <c r="G228" t="s">
        <v>3</v>
      </c>
      <c r="H228" t="s">
        <v>5</v>
      </c>
      <c r="I228">
        <v>2.33</v>
      </c>
      <c r="J228">
        <v>0.64</v>
      </c>
      <c r="K228" s="4" t="s">
        <v>26</v>
      </c>
    </row>
    <row r="229" spans="1:11" x14ac:dyDescent="0.2">
      <c r="A229">
        <v>11</v>
      </c>
      <c r="B229">
        <v>1</v>
      </c>
      <c r="D229" t="s">
        <v>7</v>
      </c>
      <c r="F229" t="s">
        <v>0</v>
      </c>
      <c r="G229" t="s">
        <v>3</v>
      </c>
      <c r="H229" t="s">
        <v>5</v>
      </c>
      <c r="I229">
        <v>2.02</v>
      </c>
      <c r="J229">
        <v>0.61</v>
      </c>
      <c r="K229" s="4" t="s">
        <v>26</v>
      </c>
    </row>
    <row r="230" spans="1:11" x14ac:dyDescent="0.2">
      <c r="A230">
        <v>11</v>
      </c>
      <c r="B230">
        <v>1</v>
      </c>
      <c r="D230" t="s">
        <v>7</v>
      </c>
      <c r="F230" t="s">
        <v>0</v>
      </c>
      <c r="G230" t="s">
        <v>3</v>
      </c>
      <c r="H230" t="s">
        <v>5</v>
      </c>
      <c r="I230">
        <v>1.91</v>
      </c>
      <c r="J230">
        <v>0.57999999999999996</v>
      </c>
      <c r="K230" s="4" t="s">
        <v>26</v>
      </c>
    </row>
    <row r="231" spans="1:11" x14ac:dyDescent="0.2">
      <c r="A231">
        <v>11</v>
      </c>
      <c r="B231">
        <v>1</v>
      </c>
      <c r="D231" t="s">
        <v>7</v>
      </c>
      <c r="F231" t="s">
        <v>0</v>
      </c>
      <c r="G231" t="s">
        <v>3</v>
      </c>
      <c r="H231" t="s">
        <v>5</v>
      </c>
      <c r="I231">
        <v>2.0099999999999998</v>
      </c>
      <c r="J231">
        <v>0.67</v>
      </c>
      <c r="K231" s="4" t="s">
        <v>26</v>
      </c>
    </row>
    <row r="232" spans="1:11" x14ac:dyDescent="0.2">
      <c r="A232">
        <v>11</v>
      </c>
      <c r="B232">
        <v>1</v>
      </c>
      <c r="D232" t="s">
        <v>7</v>
      </c>
      <c r="F232" t="s">
        <v>0</v>
      </c>
      <c r="G232" t="s">
        <v>3</v>
      </c>
      <c r="H232" t="s">
        <v>5</v>
      </c>
      <c r="I232">
        <v>2.13</v>
      </c>
      <c r="J232">
        <v>0.69</v>
      </c>
      <c r="K232" s="4" t="s">
        <v>26</v>
      </c>
    </row>
    <row r="233" spans="1:11" x14ac:dyDescent="0.2">
      <c r="A233">
        <v>11</v>
      </c>
      <c r="B233">
        <v>1</v>
      </c>
      <c r="D233" t="s">
        <v>7</v>
      </c>
      <c r="F233" t="s">
        <v>0</v>
      </c>
      <c r="G233" t="s">
        <v>3</v>
      </c>
      <c r="H233" t="s">
        <v>5</v>
      </c>
      <c r="I233">
        <v>2.27</v>
      </c>
      <c r="J233">
        <v>0.69</v>
      </c>
      <c r="K233" s="4" t="s">
        <v>26</v>
      </c>
    </row>
    <row r="234" spans="1:11" x14ac:dyDescent="0.2">
      <c r="A234">
        <v>11</v>
      </c>
      <c r="B234">
        <v>1</v>
      </c>
      <c r="D234" t="s">
        <v>7</v>
      </c>
      <c r="F234" t="s">
        <v>0</v>
      </c>
      <c r="G234" t="s">
        <v>3</v>
      </c>
      <c r="H234" t="s">
        <v>5</v>
      </c>
      <c r="I234">
        <v>2.14</v>
      </c>
      <c r="J234">
        <v>0.67</v>
      </c>
      <c r="K234" s="4" t="s">
        <v>26</v>
      </c>
    </row>
    <row r="235" spans="1:11" x14ac:dyDescent="0.2">
      <c r="A235">
        <v>11</v>
      </c>
      <c r="B235">
        <v>1</v>
      </c>
      <c r="D235" t="s">
        <v>7</v>
      </c>
      <c r="F235" t="s">
        <v>0</v>
      </c>
      <c r="G235" t="s">
        <v>3</v>
      </c>
      <c r="H235" t="s">
        <v>5</v>
      </c>
      <c r="I235">
        <v>2.14</v>
      </c>
      <c r="J235">
        <v>0.63</v>
      </c>
      <c r="K235" s="4" t="s">
        <v>26</v>
      </c>
    </row>
    <row r="236" spans="1:11" x14ac:dyDescent="0.2">
      <c r="A236">
        <v>11</v>
      </c>
      <c r="B236">
        <v>1</v>
      </c>
      <c r="D236" t="s">
        <v>7</v>
      </c>
      <c r="F236" t="s">
        <v>0</v>
      </c>
      <c r="G236" t="s">
        <v>3</v>
      </c>
      <c r="H236" t="s">
        <v>5</v>
      </c>
      <c r="I236">
        <v>2.2000000000000002</v>
      </c>
      <c r="J236">
        <v>0.59</v>
      </c>
      <c r="K236" s="4" t="s">
        <v>26</v>
      </c>
    </row>
    <row r="237" spans="1:11" x14ac:dyDescent="0.2">
      <c r="A237">
        <v>11</v>
      </c>
      <c r="B237">
        <v>1</v>
      </c>
      <c r="D237" t="s">
        <v>7</v>
      </c>
      <c r="F237" t="s">
        <v>0</v>
      </c>
      <c r="G237" t="s">
        <v>3</v>
      </c>
      <c r="H237" t="s">
        <v>5</v>
      </c>
      <c r="I237">
        <v>2.29</v>
      </c>
      <c r="J237">
        <v>0.72</v>
      </c>
      <c r="K237" s="4" t="s">
        <v>26</v>
      </c>
    </row>
    <row r="238" spans="1:11" hidden="1" x14ac:dyDescent="0.2">
      <c r="A238">
        <v>11</v>
      </c>
      <c r="B238">
        <v>1</v>
      </c>
      <c r="D238" t="s">
        <v>7</v>
      </c>
      <c r="F238" t="s">
        <v>0</v>
      </c>
      <c r="G238" t="s">
        <v>8</v>
      </c>
      <c r="H238" t="s">
        <v>5</v>
      </c>
      <c r="I238">
        <v>2.6486000000000001</v>
      </c>
      <c r="J238">
        <v>0.77249999999999996</v>
      </c>
      <c r="K238" s="4" t="s">
        <v>27</v>
      </c>
    </row>
    <row r="239" spans="1:11" x14ac:dyDescent="0.2">
      <c r="A239">
        <v>11</v>
      </c>
      <c r="B239">
        <v>1</v>
      </c>
      <c r="D239" t="s">
        <v>7</v>
      </c>
      <c r="F239" t="s">
        <v>0</v>
      </c>
      <c r="G239" t="s">
        <v>3</v>
      </c>
      <c r="H239" t="s">
        <v>5</v>
      </c>
      <c r="I239">
        <v>2.5099999999999998</v>
      </c>
      <c r="J239">
        <v>0.83</v>
      </c>
      <c r="K239" s="4" t="s">
        <v>28</v>
      </c>
    </row>
    <row r="240" spans="1:11" x14ac:dyDescent="0.2">
      <c r="A240">
        <v>11</v>
      </c>
      <c r="B240">
        <v>1</v>
      </c>
      <c r="D240" t="s">
        <v>7</v>
      </c>
      <c r="F240" t="s">
        <v>0</v>
      </c>
      <c r="G240" t="s">
        <v>3</v>
      </c>
      <c r="H240" t="s">
        <v>5</v>
      </c>
      <c r="I240">
        <v>2.34</v>
      </c>
      <c r="J240">
        <v>0.79</v>
      </c>
      <c r="K240" s="4" t="s">
        <v>28</v>
      </c>
    </row>
    <row r="241" spans="1:11" x14ac:dyDescent="0.2">
      <c r="A241" s="6">
        <v>11</v>
      </c>
      <c r="B241" s="6">
        <v>1</v>
      </c>
      <c r="C241" s="6"/>
      <c r="D241" s="6" t="s">
        <v>7</v>
      </c>
      <c r="E241" s="8"/>
      <c r="F241" s="6" t="s">
        <v>0</v>
      </c>
      <c r="G241" s="6" t="s">
        <v>3</v>
      </c>
      <c r="H241" s="6" t="s">
        <v>5</v>
      </c>
      <c r="I241" s="6">
        <v>1.78</v>
      </c>
      <c r="J241" s="6">
        <v>0.62</v>
      </c>
      <c r="K241" s="7" t="s">
        <v>28</v>
      </c>
    </row>
    <row r="242" spans="1:11" x14ac:dyDescent="0.2">
      <c r="A242">
        <v>11</v>
      </c>
      <c r="B242">
        <v>1</v>
      </c>
      <c r="D242" t="s">
        <v>7</v>
      </c>
      <c r="F242" t="s">
        <v>0</v>
      </c>
      <c r="G242" t="s">
        <v>3</v>
      </c>
      <c r="H242" t="s">
        <v>5</v>
      </c>
      <c r="I242">
        <v>2.02</v>
      </c>
      <c r="J242">
        <v>0.63</v>
      </c>
      <c r="K242" s="4" t="s">
        <v>28</v>
      </c>
    </row>
    <row r="243" spans="1:11" x14ac:dyDescent="0.2">
      <c r="A243">
        <v>11</v>
      </c>
      <c r="B243">
        <v>1</v>
      </c>
      <c r="D243" t="s">
        <v>7</v>
      </c>
      <c r="F243" t="s">
        <v>0</v>
      </c>
      <c r="G243" t="s">
        <v>3</v>
      </c>
      <c r="H243" t="s">
        <v>5</v>
      </c>
      <c r="I243">
        <v>2.2200000000000002</v>
      </c>
      <c r="J243">
        <v>0.61</v>
      </c>
      <c r="K243" s="4" t="s">
        <v>28</v>
      </c>
    </row>
    <row r="244" spans="1:11" x14ac:dyDescent="0.2">
      <c r="A244">
        <v>11</v>
      </c>
      <c r="B244">
        <v>1</v>
      </c>
      <c r="D244" t="s">
        <v>7</v>
      </c>
      <c r="F244" t="s">
        <v>0</v>
      </c>
      <c r="G244" t="s">
        <v>3</v>
      </c>
      <c r="H244" t="s">
        <v>5</v>
      </c>
      <c r="I244">
        <v>1.96</v>
      </c>
      <c r="J244">
        <v>0.68</v>
      </c>
      <c r="K244" s="4" t="s">
        <v>28</v>
      </c>
    </row>
    <row r="245" spans="1:11" x14ac:dyDescent="0.2">
      <c r="A245">
        <v>11</v>
      </c>
      <c r="B245">
        <v>1</v>
      </c>
      <c r="D245" t="s">
        <v>7</v>
      </c>
      <c r="F245" t="s">
        <v>0</v>
      </c>
      <c r="G245" t="s">
        <v>3</v>
      </c>
      <c r="H245" t="s">
        <v>5</v>
      </c>
      <c r="I245">
        <v>2.0699999999999998</v>
      </c>
      <c r="J245">
        <v>0.59</v>
      </c>
      <c r="K245" s="4" t="s">
        <v>28</v>
      </c>
    </row>
    <row r="246" spans="1:11" x14ac:dyDescent="0.2">
      <c r="A246">
        <v>11</v>
      </c>
      <c r="B246">
        <v>1</v>
      </c>
      <c r="D246" t="s">
        <v>7</v>
      </c>
      <c r="F246" t="s">
        <v>0</v>
      </c>
      <c r="G246" t="s">
        <v>3</v>
      </c>
      <c r="H246" t="s">
        <v>5</v>
      </c>
      <c r="I246">
        <v>2.14</v>
      </c>
      <c r="J246">
        <v>0.61</v>
      </c>
      <c r="K246" s="4" t="s">
        <v>28</v>
      </c>
    </row>
    <row r="247" spans="1:11" x14ac:dyDescent="0.2">
      <c r="A247">
        <v>11</v>
      </c>
      <c r="B247">
        <v>1</v>
      </c>
      <c r="D247" t="s">
        <v>7</v>
      </c>
      <c r="F247" t="s">
        <v>0</v>
      </c>
      <c r="G247" t="s">
        <v>3</v>
      </c>
      <c r="H247" t="s">
        <v>5</v>
      </c>
      <c r="I247">
        <v>2.5099999999999998</v>
      </c>
      <c r="J247">
        <v>0.79</v>
      </c>
      <c r="K247" s="4" t="s">
        <v>28</v>
      </c>
    </row>
    <row r="248" spans="1:11" x14ac:dyDescent="0.2">
      <c r="A248">
        <v>11</v>
      </c>
      <c r="B248">
        <v>1</v>
      </c>
      <c r="D248" t="s">
        <v>7</v>
      </c>
      <c r="F248" t="s">
        <v>0</v>
      </c>
      <c r="G248" t="s">
        <v>3</v>
      </c>
      <c r="H248" t="s">
        <v>5</v>
      </c>
      <c r="I248">
        <v>1.96</v>
      </c>
      <c r="J248">
        <v>0.71</v>
      </c>
      <c r="K248" s="4" t="s">
        <v>28</v>
      </c>
    </row>
    <row r="249" spans="1:11" x14ac:dyDescent="0.2">
      <c r="A249">
        <v>11</v>
      </c>
      <c r="B249">
        <v>1</v>
      </c>
      <c r="D249" t="s">
        <v>7</v>
      </c>
      <c r="F249" t="s">
        <v>0</v>
      </c>
      <c r="G249" t="s">
        <v>3</v>
      </c>
      <c r="H249" t="s">
        <v>5</v>
      </c>
      <c r="I249">
        <v>2.25</v>
      </c>
      <c r="J249">
        <v>0.77</v>
      </c>
      <c r="K249" s="4" t="s">
        <v>28</v>
      </c>
    </row>
    <row r="250" spans="1:11" x14ac:dyDescent="0.2">
      <c r="A250">
        <v>11</v>
      </c>
      <c r="B250">
        <v>1</v>
      </c>
      <c r="D250" t="s">
        <v>7</v>
      </c>
      <c r="F250" t="s">
        <v>0</v>
      </c>
      <c r="G250" t="s">
        <v>3</v>
      </c>
      <c r="H250" t="s">
        <v>5</v>
      </c>
      <c r="I250">
        <v>2.0099999999999998</v>
      </c>
      <c r="J250">
        <v>0.56999999999999995</v>
      </c>
      <c r="K250" s="4" t="s">
        <v>28</v>
      </c>
    </row>
    <row r="251" spans="1:11" x14ac:dyDescent="0.2">
      <c r="A251">
        <v>11</v>
      </c>
      <c r="B251">
        <v>1</v>
      </c>
      <c r="D251" t="s">
        <v>7</v>
      </c>
      <c r="F251" t="s">
        <v>0</v>
      </c>
      <c r="G251" t="s">
        <v>3</v>
      </c>
      <c r="H251" t="s">
        <v>5</v>
      </c>
      <c r="I251">
        <v>2.33</v>
      </c>
      <c r="J251">
        <v>0.81</v>
      </c>
      <c r="K251" s="4" t="s">
        <v>28</v>
      </c>
    </row>
    <row r="252" spans="1:11" x14ac:dyDescent="0.2">
      <c r="A252">
        <v>11</v>
      </c>
      <c r="B252">
        <v>1</v>
      </c>
      <c r="D252" t="s">
        <v>7</v>
      </c>
      <c r="F252" t="s">
        <v>0</v>
      </c>
      <c r="G252" t="s">
        <v>3</v>
      </c>
      <c r="H252" t="s">
        <v>5</v>
      </c>
      <c r="I252">
        <v>2.39</v>
      </c>
      <c r="J252">
        <v>0.8</v>
      </c>
      <c r="K252" s="4" t="s">
        <v>28</v>
      </c>
    </row>
    <row r="253" spans="1:11" x14ac:dyDescent="0.2">
      <c r="A253">
        <v>11</v>
      </c>
      <c r="B253">
        <v>1</v>
      </c>
      <c r="D253" t="s">
        <v>7</v>
      </c>
      <c r="F253" t="s">
        <v>0</v>
      </c>
      <c r="G253" t="s">
        <v>3</v>
      </c>
      <c r="H253" t="s">
        <v>5</v>
      </c>
      <c r="I253">
        <v>2.2599999999999998</v>
      </c>
      <c r="J253">
        <v>0.63</v>
      </c>
      <c r="K253" s="4" t="s">
        <v>28</v>
      </c>
    </row>
    <row r="254" spans="1:11" x14ac:dyDescent="0.2">
      <c r="A254">
        <v>11</v>
      </c>
      <c r="B254">
        <v>1</v>
      </c>
      <c r="D254" t="s">
        <v>7</v>
      </c>
      <c r="F254" t="s">
        <v>0</v>
      </c>
      <c r="G254" t="s">
        <v>3</v>
      </c>
      <c r="H254" t="s">
        <v>5</v>
      </c>
      <c r="I254">
        <v>1.96</v>
      </c>
      <c r="J254">
        <v>0.67</v>
      </c>
      <c r="K254" s="4" t="s">
        <v>30</v>
      </c>
    </row>
    <row r="255" spans="1:11" x14ac:dyDescent="0.2">
      <c r="A255">
        <v>11</v>
      </c>
      <c r="B255">
        <v>1</v>
      </c>
      <c r="D255" t="s">
        <v>7</v>
      </c>
      <c r="F255" t="s">
        <v>0</v>
      </c>
      <c r="G255" t="s">
        <v>3</v>
      </c>
      <c r="H255" t="s">
        <v>5</v>
      </c>
      <c r="I255">
        <v>2.0099999999999998</v>
      </c>
      <c r="J255">
        <v>0.65</v>
      </c>
      <c r="K255" s="4" t="s">
        <v>30</v>
      </c>
    </row>
    <row r="256" spans="1:11" x14ac:dyDescent="0.2">
      <c r="A256">
        <v>11</v>
      </c>
      <c r="B256">
        <v>1</v>
      </c>
      <c r="D256" t="s">
        <v>7</v>
      </c>
      <c r="F256" t="s">
        <v>0</v>
      </c>
      <c r="G256" t="s">
        <v>3</v>
      </c>
      <c r="H256" t="s">
        <v>5</v>
      </c>
      <c r="I256">
        <v>2.0699999999999998</v>
      </c>
      <c r="J256">
        <v>0.57999999999999996</v>
      </c>
      <c r="K256" s="4" t="s">
        <v>30</v>
      </c>
    </row>
    <row r="257" spans="1:11" x14ac:dyDescent="0.2">
      <c r="A257">
        <v>11</v>
      </c>
      <c r="B257">
        <v>1</v>
      </c>
      <c r="D257" t="s">
        <v>7</v>
      </c>
      <c r="F257" t="s">
        <v>0</v>
      </c>
      <c r="G257" t="s">
        <v>3</v>
      </c>
      <c r="H257" t="s">
        <v>5</v>
      </c>
      <c r="I257">
        <v>2.58</v>
      </c>
      <c r="J257">
        <v>0.8</v>
      </c>
      <c r="K257" s="4" t="s">
        <v>30</v>
      </c>
    </row>
    <row r="258" spans="1:11" x14ac:dyDescent="0.2">
      <c r="A258">
        <v>11</v>
      </c>
      <c r="B258">
        <v>1</v>
      </c>
      <c r="D258" t="s">
        <v>7</v>
      </c>
      <c r="F258" t="s">
        <v>0</v>
      </c>
      <c r="G258" t="s">
        <v>3</v>
      </c>
      <c r="H258" t="s">
        <v>5</v>
      </c>
      <c r="I258">
        <v>2.2599999999999998</v>
      </c>
      <c r="J258">
        <v>0.7</v>
      </c>
      <c r="K258" s="4" t="s">
        <v>30</v>
      </c>
    </row>
    <row r="259" spans="1:11" x14ac:dyDescent="0.2">
      <c r="A259">
        <v>11</v>
      </c>
      <c r="B259">
        <v>1</v>
      </c>
      <c r="D259" t="s">
        <v>7</v>
      </c>
      <c r="F259" t="s">
        <v>0</v>
      </c>
      <c r="G259" t="s">
        <v>3</v>
      </c>
      <c r="H259" t="s">
        <v>5</v>
      </c>
      <c r="I259" s="6">
        <v>1.77</v>
      </c>
      <c r="J259" s="6">
        <v>0.45</v>
      </c>
      <c r="K259" s="4" t="s">
        <v>30</v>
      </c>
    </row>
    <row r="260" spans="1:11" x14ac:dyDescent="0.2">
      <c r="A260">
        <v>11</v>
      </c>
      <c r="B260">
        <v>1</v>
      </c>
      <c r="D260" t="s">
        <v>7</v>
      </c>
      <c r="F260" t="s">
        <v>0</v>
      </c>
      <c r="G260" t="s">
        <v>3</v>
      </c>
      <c r="H260" t="s">
        <v>5</v>
      </c>
      <c r="I260">
        <v>2.2000000000000002</v>
      </c>
      <c r="J260">
        <v>0.61</v>
      </c>
      <c r="K260" s="4" t="s">
        <v>30</v>
      </c>
    </row>
    <row r="261" spans="1:11" x14ac:dyDescent="0.2">
      <c r="A261">
        <v>11</v>
      </c>
      <c r="B261">
        <v>1</v>
      </c>
      <c r="D261" t="s">
        <v>7</v>
      </c>
      <c r="F261" t="s">
        <v>0</v>
      </c>
      <c r="G261" t="s">
        <v>3</v>
      </c>
      <c r="H261" t="s">
        <v>5</v>
      </c>
      <c r="I261">
        <v>2.11</v>
      </c>
      <c r="J261">
        <v>0.64</v>
      </c>
      <c r="K261" s="4" t="s">
        <v>30</v>
      </c>
    </row>
    <row r="262" spans="1:11" x14ac:dyDescent="0.2">
      <c r="A262">
        <v>11</v>
      </c>
      <c r="B262">
        <v>1</v>
      </c>
      <c r="D262" t="s">
        <v>7</v>
      </c>
      <c r="F262" t="s">
        <v>0</v>
      </c>
      <c r="G262" t="s">
        <v>3</v>
      </c>
      <c r="H262" t="s">
        <v>5</v>
      </c>
      <c r="I262">
        <v>1.98</v>
      </c>
      <c r="J262">
        <v>0.55000000000000004</v>
      </c>
      <c r="K262" s="4" t="s">
        <v>30</v>
      </c>
    </row>
    <row r="263" spans="1:11" x14ac:dyDescent="0.2">
      <c r="A263">
        <v>11</v>
      </c>
      <c r="B263">
        <v>1</v>
      </c>
      <c r="D263" t="s">
        <v>7</v>
      </c>
      <c r="F263" t="s">
        <v>0</v>
      </c>
      <c r="G263" t="s">
        <v>3</v>
      </c>
      <c r="H263" t="s">
        <v>5</v>
      </c>
      <c r="I263">
        <v>2.23</v>
      </c>
      <c r="J263">
        <v>0.62</v>
      </c>
      <c r="K263" s="4" t="s">
        <v>30</v>
      </c>
    </row>
    <row r="264" spans="1:11" x14ac:dyDescent="0.2">
      <c r="A264">
        <v>11</v>
      </c>
      <c r="B264">
        <v>1</v>
      </c>
      <c r="D264" t="s">
        <v>7</v>
      </c>
      <c r="F264" t="s">
        <v>0</v>
      </c>
      <c r="G264" t="s">
        <v>3</v>
      </c>
      <c r="H264" t="s">
        <v>5</v>
      </c>
      <c r="I264">
        <v>2.4900000000000002</v>
      </c>
      <c r="J264">
        <v>0.81</v>
      </c>
      <c r="K264" s="4" t="s">
        <v>30</v>
      </c>
    </row>
    <row r="265" spans="1:11" hidden="1" x14ac:dyDescent="0.2">
      <c r="A265">
        <v>11</v>
      </c>
      <c r="B265">
        <v>1</v>
      </c>
      <c r="D265" t="s">
        <v>7</v>
      </c>
      <c r="F265" t="s">
        <v>0</v>
      </c>
      <c r="G265" t="s">
        <v>8</v>
      </c>
      <c r="H265" t="s">
        <v>5</v>
      </c>
      <c r="I265">
        <v>2.7778</v>
      </c>
      <c r="J265">
        <v>0.7752</v>
      </c>
      <c r="K265" s="4" t="s">
        <v>31</v>
      </c>
    </row>
    <row r="266" spans="1:11" hidden="1" x14ac:dyDescent="0.2">
      <c r="A266">
        <v>11</v>
      </c>
      <c r="B266">
        <v>1</v>
      </c>
      <c r="D266" t="s">
        <v>7</v>
      </c>
      <c r="F266" t="s">
        <v>0</v>
      </c>
      <c r="G266" t="s">
        <v>6</v>
      </c>
      <c r="H266" t="s">
        <v>4</v>
      </c>
      <c r="I266">
        <v>3.0362</v>
      </c>
      <c r="J266" s="4">
        <v>0.90439999999999998</v>
      </c>
      <c r="K266" s="4" t="s">
        <v>32</v>
      </c>
    </row>
    <row r="267" spans="1:11" hidden="1" x14ac:dyDescent="0.2">
      <c r="A267">
        <v>11</v>
      </c>
      <c r="B267">
        <v>1</v>
      </c>
      <c r="D267" t="s">
        <v>7</v>
      </c>
      <c r="F267" t="s">
        <v>0</v>
      </c>
      <c r="G267" t="s">
        <v>3</v>
      </c>
      <c r="H267" t="s">
        <v>4</v>
      </c>
      <c r="I267">
        <v>1.5</v>
      </c>
      <c r="J267">
        <v>0.43</v>
      </c>
      <c r="K267" s="4" t="s">
        <v>33</v>
      </c>
    </row>
    <row r="268" spans="1:11" hidden="1" x14ac:dyDescent="0.2">
      <c r="A268">
        <v>11</v>
      </c>
      <c r="B268">
        <v>1</v>
      </c>
      <c r="D268" t="s">
        <v>7</v>
      </c>
      <c r="F268" t="s">
        <v>0</v>
      </c>
      <c r="G268" t="s">
        <v>3</v>
      </c>
      <c r="H268" t="s">
        <v>4</v>
      </c>
      <c r="I268">
        <v>1.74</v>
      </c>
      <c r="J268">
        <v>0.5</v>
      </c>
      <c r="K268" s="4" t="s">
        <v>33</v>
      </c>
    </row>
    <row r="269" spans="1:11" hidden="1" x14ac:dyDescent="0.2">
      <c r="A269">
        <v>11</v>
      </c>
      <c r="B269">
        <v>1</v>
      </c>
      <c r="D269" t="s">
        <v>7</v>
      </c>
      <c r="F269" t="s">
        <v>0</v>
      </c>
      <c r="G269" t="s">
        <v>3</v>
      </c>
      <c r="H269" t="s">
        <v>4</v>
      </c>
      <c r="I269">
        <v>1.64</v>
      </c>
      <c r="J269">
        <v>0.48</v>
      </c>
      <c r="K269" s="4" t="s">
        <v>33</v>
      </c>
    </row>
    <row r="270" spans="1:11" hidden="1" x14ac:dyDescent="0.2">
      <c r="A270">
        <v>11</v>
      </c>
      <c r="B270">
        <v>1</v>
      </c>
      <c r="D270" t="s">
        <v>7</v>
      </c>
      <c r="F270" t="s">
        <v>0</v>
      </c>
      <c r="G270" t="s">
        <v>3</v>
      </c>
      <c r="H270" t="s">
        <v>4</v>
      </c>
      <c r="I270">
        <v>1.48</v>
      </c>
      <c r="J270">
        <v>0.4</v>
      </c>
      <c r="K270" s="4" t="s">
        <v>33</v>
      </c>
    </row>
    <row r="271" spans="1:11" hidden="1" x14ac:dyDescent="0.2">
      <c r="A271">
        <v>11</v>
      </c>
      <c r="B271">
        <v>1</v>
      </c>
      <c r="D271" t="s">
        <v>7</v>
      </c>
      <c r="F271" t="s">
        <v>0</v>
      </c>
      <c r="G271" t="s">
        <v>3</v>
      </c>
      <c r="H271" t="s">
        <v>4</v>
      </c>
      <c r="I271">
        <v>1.65</v>
      </c>
      <c r="J271">
        <v>0.48</v>
      </c>
      <c r="K271" s="4" t="s">
        <v>33</v>
      </c>
    </row>
    <row r="272" spans="1:11" hidden="1" x14ac:dyDescent="0.2">
      <c r="A272">
        <v>11</v>
      </c>
      <c r="B272">
        <v>1</v>
      </c>
      <c r="D272" t="s">
        <v>7</v>
      </c>
      <c r="F272" t="s">
        <v>0</v>
      </c>
      <c r="G272" t="s">
        <v>3</v>
      </c>
      <c r="H272" t="s">
        <v>4</v>
      </c>
      <c r="I272">
        <v>1.68</v>
      </c>
      <c r="J272">
        <v>0.49</v>
      </c>
      <c r="K272" s="4" t="s">
        <v>33</v>
      </c>
    </row>
    <row r="273" spans="1:11" hidden="1" x14ac:dyDescent="0.2">
      <c r="A273">
        <v>11</v>
      </c>
      <c r="B273">
        <v>1</v>
      </c>
      <c r="D273" t="s">
        <v>7</v>
      </c>
      <c r="F273" t="s">
        <v>0</v>
      </c>
      <c r="G273" t="s">
        <v>3</v>
      </c>
      <c r="H273" t="s">
        <v>4</v>
      </c>
      <c r="I273">
        <v>1.53</v>
      </c>
      <c r="J273">
        <v>0.51</v>
      </c>
      <c r="K273" s="4" t="s">
        <v>33</v>
      </c>
    </row>
    <row r="274" spans="1:11" hidden="1" x14ac:dyDescent="0.2">
      <c r="A274">
        <v>11</v>
      </c>
      <c r="B274">
        <v>1</v>
      </c>
      <c r="D274" t="s">
        <v>7</v>
      </c>
      <c r="F274" t="s">
        <v>0</v>
      </c>
      <c r="G274" t="s">
        <v>3</v>
      </c>
      <c r="H274" t="s">
        <v>4</v>
      </c>
      <c r="I274">
        <v>1.62</v>
      </c>
      <c r="J274">
        <v>0.47</v>
      </c>
      <c r="K274" s="4" t="s">
        <v>33</v>
      </c>
    </row>
    <row r="275" spans="1:11" hidden="1" x14ac:dyDescent="0.2">
      <c r="A275">
        <v>11</v>
      </c>
      <c r="B275">
        <v>1</v>
      </c>
      <c r="D275" t="s">
        <v>7</v>
      </c>
      <c r="F275" t="s">
        <v>0</v>
      </c>
      <c r="G275" t="s">
        <v>3</v>
      </c>
      <c r="H275" t="s">
        <v>4</v>
      </c>
      <c r="I275">
        <v>1.73</v>
      </c>
      <c r="J275">
        <v>0.5</v>
      </c>
      <c r="K275" s="4" t="s">
        <v>33</v>
      </c>
    </row>
    <row r="276" spans="1:11" hidden="1" x14ac:dyDescent="0.2">
      <c r="A276">
        <v>11</v>
      </c>
      <c r="B276">
        <v>1</v>
      </c>
      <c r="D276" t="s">
        <v>7</v>
      </c>
      <c r="F276" t="s">
        <v>0</v>
      </c>
      <c r="G276" t="s">
        <v>3</v>
      </c>
      <c r="H276" t="s">
        <v>4</v>
      </c>
      <c r="I276">
        <v>1.27</v>
      </c>
      <c r="J276">
        <v>0.44</v>
      </c>
      <c r="K276" s="4" t="s">
        <v>33</v>
      </c>
    </row>
    <row r="277" spans="1:11" hidden="1" x14ac:dyDescent="0.2">
      <c r="A277">
        <v>11</v>
      </c>
      <c r="B277">
        <v>1</v>
      </c>
      <c r="D277" t="s">
        <v>7</v>
      </c>
      <c r="F277" t="s">
        <v>0</v>
      </c>
      <c r="G277" t="s">
        <v>3</v>
      </c>
      <c r="H277" t="s">
        <v>4</v>
      </c>
      <c r="I277">
        <v>1.57</v>
      </c>
      <c r="J277">
        <v>0.41</v>
      </c>
      <c r="K277" s="4" t="s">
        <v>33</v>
      </c>
    </row>
    <row r="278" spans="1:11" hidden="1" x14ac:dyDescent="0.2">
      <c r="A278">
        <v>11</v>
      </c>
      <c r="B278">
        <v>1</v>
      </c>
      <c r="D278" t="s">
        <v>7</v>
      </c>
      <c r="F278" t="s">
        <v>0</v>
      </c>
      <c r="G278" t="s">
        <v>3</v>
      </c>
      <c r="H278" t="s">
        <v>35</v>
      </c>
      <c r="I278">
        <v>2.63</v>
      </c>
      <c r="J278">
        <v>0.75</v>
      </c>
      <c r="K278" s="4" t="s">
        <v>34</v>
      </c>
    </row>
    <row r="279" spans="1:11" hidden="1" x14ac:dyDescent="0.2">
      <c r="A279">
        <v>11</v>
      </c>
      <c r="B279">
        <v>1</v>
      </c>
      <c r="D279" t="s">
        <v>7</v>
      </c>
      <c r="F279" t="s">
        <v>0</v>
      </c>
      <c r="G279" t="s">
        <v>3</v>
      </c>
      <c r="H279" t="s">
        <v>35</v>
      </c>
      <c r="I279">
        <v>2.29</v>
      </c>
      <c r="J279">
        <v>0.69</v>
      </c>
      <c r="K279" s="4" t="s">
        <v>34</v>
      </c>
    </row>
    <row r="280" spans="1:11" hidden="1" x14ac:dyDescent="0.2">
      <c r="A280">
        <v>11</v>
      </c>
      <c r="B280">
        <v>1</v>
      </c>
      <c r="D280" t="s">
        <v>7</v>
      </c>
      <c r="F280" t="s">
        <v>0</v>
      </c>
      <c r="G280" t="s">
        <v>3</v>
      </c>
      <c r="H280" t="s">
        <v>35</v>
      </c>
      <c r="I280">
        <v>2.99</v>
      </c>
      <c r="J280">
        <v>0.89</v>
      </c>
      <c r="K280" s="4" t="s">
        <v>34</v>
      </c>
    </row>
    <row r="281" spans="1:11" hidden="1" x14ac:dyDescent="0.2">
      <c r="A281">
        <v>11</v>
      </c>
      <c r="B281">
        <v>1</v>
      </c>
      <c r="D281" t="s">
        <v>7</v>
      </c>
      <c r="F281" t="s">
        <v>0</v>
      </c>
      <c r="G281" t="s">
        <v>3</v>
      </c>
      <c r="H281" t="s">
        <v>35</v>
      </c>
      <c r="I281">
        <v>2.59</v>
      </c>
      <c r="J281">
        <v>0.74</v>
      </c>
      <c r="K281" s="4" t="s">
        <v>34</v>
      </c>
    </row>
    <row r="282" spans="1:11" hidden="1" x14ac:dyDescent="0.2">
      <c r="A282">
        <v>11</v>
      </c>
      <c r="B282">
        <v>1</v>
      </c>
      <c r="D282" t="s">
        <v>7</v>
      </c>
      <c r="F282" t="s">
        <v>0</v>
      </c>
      <c r="G282" t="s">
        <v>3</v>
      </c>
      <c r="H282" t="s">
        <v>35</v>
      </c>
      <c r="I282">
        <v>2.85</v>
      </c>
      <c r="J282">
        <v>0.94</v>
      </c>
      <c r="K282" s="4" t="s">
        <v>34</v>
      </c>
    </row>
    <row r="283" spans="1:11" hidden="1" x14ac:dyDescent="0.2">
      <c r="A283">
        <v>11</v>
      </c>
      <c r="B283">
        <v>1</v>
      </c>
      <c r="D283" t="s">
        <v>7</v>
      </c>
      <c r="F283" t="s">
        <v>0</v>
      </c>
      <c r="G283" t="s">
        <v>2</v>
      </c>
      <c r="H283" t="s">
        <v>37</v>
      </c>
      <c r="I283">
        <v>7.54</v>
      </c>
      <c r="J283">
        <v>5.17</v>
      </c>
      <c r="K283" t="s">
        <v>36</v>
      </c>
    </row>
    <row r="284" spans="1:11" hidden="1" x14ac:dyDescent="0.2">
      <c r="A284">
        <v>11</v>
      </c>
      <c r="B284">
        <v>1</v>
      </c>
      <c r="D284" t="s">
        <v>7</v>
      </c>
      <c r="F284" t="s">
        <v>0</v>
      </c>
      <c r="G284" t="s">
        <v>2</v>
      </c>
      <c r="H284" t="s">
        <v>37</v>
      </c>
      <c r="I284">
        <v>2.17</v>
      </c>
      <c r="J284">
        <v>2.0299999999999998</v>
      </c>
      <c r="K284" t="s">
        <v>36</v>
      </c>
    </row>
    <row r="285" spans="1:11" hidden="1" x14ac:dyDescent="0.2">
      <c r="A285">
        <v>11</v>
      </c>
      <c r="B285">
        <v>1</v>
      </c>
      <c r="D285" t="s">
        <v>7</v>
      </c>
      <c r="F285" t="s">
        <v>0</v>
      </c>
      <c r="G285" t="s">
        <v>2</v>
      </c>
      <c r="H285" t="s">
        <v>37</v>
      </c>
      <c r="I285">
        <v>2.04</v>
      </c>
      <c r="J285">
        <v>1.9</v>
      </c>
      <c r="K285" t="s">
        <v>36</v>
      </c>
    </row>
    <row r="286" spans="1:11" hidden="1" x14ac:dyDescent="0.2">
      <c r="A286">
        <v>11</v>
      </c>
      <c r="B286">
        <v>1</v>
      </c>
      <c r="D286" t="s">
        <v>7</v>
      </c>
      <c r="F286" t="s">
        <v>0</v>
      </c>
      <c r="G286" t="s">
        <v>2</v>
      </c>
      <c r="H286" t="s">
        <v>37</v>
      </c>
      <c r="I286">
        <v>2.5299999999999998</v>
      </c>
      <c r="J286">
        <v>3.1</v>
      </c>
      <c r="K286" t="s">
        <v>36</v>
      </c>
    </row>
    <row r="287" spans="1:11" hidden="1" x14ac:dyDescent="0.2">
      <c r="A287">
        <v>11</v>
      </c>
      <c r="B287">
        <v>1</v>
      </c>
      <c r="D287" t="s">
        <v>7</v>
      </c>
      <c r="F287" t="s">
        <v>0</v>
      </c>
      <c r="G287" t="s">
        <v>2</v>
      </c>
      <c r="H287" t="s">
        <v>37</v>
      </c>
      <c r="I287">
        <v>1.43</v>
      </c>
      <c r="J287">
        <v>1.42</v>
      </c>
      <c r="K287" t="s">
        <v>36</v>
      </c>
    </row>
    <row r="288" spans="1:11" hidden="1" x14ac:dyDescent="0.2">
      <c r="A288">
        <v>11</v>
      </c>
      <c r="B288">
        <v>1</v>
      </c>
      <c r="D288" t="s">
        <v>7</v>
      </c>
      <c r="F288" t="s">
        <v>0</v>
      </c>
      <c r="G288" t="s">
        <v>2</v>
      </c>
      <c r="H288" t="s">
        <v>37</v>
      </c>
      <c r="I288">
        <v>2.27</v>
      </c>
      <c r="J288">
        <v>1.87</v>
      </c>
      <c r="K288" t="s">
        <v>36</v>
      </c>
    </row>
    <row r="289" spans="1:11" hidden="1" x14ac:dyDescent="0.2">
      <c r="A289">
        <v>11</v>
      </c>
      <c r="B289">
        <v>1</v>
      </c>
      <c r="D289" t="s">
        <v>7</v>
      </c>
      <c r="F289" t="s">
        <v>0</v>
      </c>
      <c r="G289" t="s">
        <v>2</v>
      </c>
      <c r="H289" t="s">
        <v>37</v>
      </c>
      <c r="I289">
        <v>3.03</v>
      </c>
      <c r="J289">
        <v>3.24</v>
      </c>
      <c r="K289" t="s">
        <v>36</v>
      </c>
    </row>
    <row r="290" spans="1:11" hidden="1" x14ac:dyDescent="0.2">
      <c r="A290">
        <v>11</v>
      </c>
      <c r="B290">
        <v>1</v>
      </c>
      <c r="D290" t="s">
        <v>7</v>
      </c>
      <c r="F290" t="s">
        <v>0</v>
      </c>
      <c r="G290" t="s">
        <v>2</v>
      </c>
      <c r="H290" t="s">
        <v>37</v>
      </c>
      <c r="I290">
        <v>2.38</v>
      </c>
      <c r="J290">
        <v>2.17</v>
      </c>
      <c r="K290" t="s">
        <v>36</v>
      </c>
    </row>
    <row r="291" spans="1:11" hidden="1" x14ac:dyDescent="0.2">
      <c r="A291">
        <v>11</v>
      </c>
      <c r="B291">
        <v>1</v>
      </c>
      <c r="D291" t="s">
        <v>7</v>
      </c>
      <c r="F291" t="s">
        <v>0</v>
      </c>
      <c r="G291" t="s">
        <v>2</v>
      </c>
      <c r="H291" t="s">
        <v>37</v>
      </c>
      <c r="I291">
        <v>3.03</v>
      </c>
      <c r="J291">
        <v>2.69</v>
      </c>
      <c r="K291" t="s">
        <v>36</v>
      </c>
    </row>
    <row r="292" spans="1:11" hidden="1" x14ac:dyDescent="0.2">
      <c r="A292">
        <v>11</v>
      </c>
      <c r="B292">
        <v>1</v>
      </c>
      <c r="D292" t="s">
        <v>7</v>
      </c>
      <c r="F292" t="s">
        <v>0</v>
      </c>
      <c r="G292" t="s">
        <v>20</v>
      </c>
      <c r="H292" t="s">
        <v>37</v>
      </c>
      <c r="I292">
        <v>3.78</v>
      </c>
      <c r="J292">
        <v>2.42</v>
      </c>
      <c r="K292" s="4" t="s">
        <v>38</v>
      </c>
    </row>
    <row r="293" spans="1:11" hidden="1" x14ac:dyDescent="0.2">
      <c r="A293">
        <v>11</v>
      </c>
      <c r="B293">
        <v>1</v>
      </c>
      <c r="D293" t="s">
        <v>7</v>
      </c>
      <c r="F293" t="s">
        <v>0</v>
      </c>
      <c r="G293" t="s">
        <v>20</v>
      </c>
      <c r="H293" t="s">
        <v>37</v>
      </c>
      <c r="I293">
        <v>2.4300000000000002</v>
      </c>
      <c r="J293">
        <v>1.62</v>
      </c>
      <c r="K293" s="4" t="s">
        <v>38</v>
      </c>
    </row>
    <row r="294" spans="1:11" hidden="1" x14ac:dyDescent="0.2">
      <c r="A294">
        <v>11</v>
      </c>
      <c r="B294">
        <v>1</v>
      </c>
      <c r="D294" t="s">
        <v>7</v>
      </c>
      <c r="F294" t="s">
        <v>0</v>
      </c>
      <c r="G294" t="s">
        <v>20</v>
      </c>
      <c r="H294" t="s">
        <v>37</v>
      </c>
      <c r="I294">
        <v>2.4500000000000002</v>
      </c>
      <c r="J294">
        <v>1.44</v>
      </c>
      <c r="K294" s="4" t="s">
        <v>38</v>
      </c>
    </row>
    <row r="295" spans="1:11" hidden="1" x14ac:dyDescent="0.2">
      <c r="A295">
        <v>11</v>
      </c>
      <c r="B295">
        <v>1</v>
      </c>
      <c r="D295" t="s">
        <v>7</v>
      </c>
      <c r="F295" t="s">
        <v>0</v>
      </c>
      <c r="G295" t="s">
        <v>18</v>
      </c>
      <c r="H295" t="s">
        <v>37</v>
      </c>
      <c r="I295">
        <v>4.68</v>
      </c>
      <c r="J295">
        <v>0.96</v>
      </c>
      <c r="K295" s="4" t="s">
        <v>39</v>
      </c>
    </row>
    <row r="296" spans="1:11" hidden="1" x14ac:dyDescent="0.2">
      <c r="A296">
        <v>11</v>
      </c>
      <c r="B296">
        <v>1</v>
      </c>
      <c r="D296" t="s">
        <v>7</v>
      </c>
      <c r="F296" t="s">
        <v>0</v>
      </c>
      <c r="G296" t="s">
        <v>18</v>
      </c>
      <c r="H296" t="s">
        <v>37</v>
      </c>
      <c r="I296">
        <v>3.72</v>
      </c>
      <c r="J296">
        <v>0.33</v>
      </c>
      <c r="K296" s="4" t="s">
        <v>39</v>
      </c>
    </row>
    <row r="297" spans="1:11" hidden="1" x14ac:dyDescent="0.2">
      <c r="A297">
        <v>11</v>
      </c>
      <c r="B297">
        <v>1</v>
      </c>
      <c r="D297" t="s">
        <v>7</v>
      </c>
      <c r="F297" t="s">
        <v>0</v>
      </c>
      <c r="G297" t="s">
        <v>18</v>
      </c>
      <c r="H297" t="s">
        <v>37</v>
      </c>
      <c r="I297">
        <v>2.63</v>
      </c>
      <c r="J297">
        <v>31</v>
      </c>
      <c r="K297" s="4" t="s">
        <v>39</v>
      </c>
    </row>
    <row r="298" spans="1:11" hidden="1" x14ac:dyDescent="0.2">
      <c r="A298">
        <v>11</v>
      </c>
      <c r="B298">
        <v>1</v>
      </c>
      <c r="D298" t="s">
        <v>7</v>
      </c>
      <c r="F298" t="s">
        <v>0</v>
      </c>
      <c r="G298" t="s">
        <v>18</v>
      </c>
      <c r="H298" t="s">
        <v>37</v>
      </c>
      <c r="I298">
        <v>1.68</v>
      </c>
      <c r="J298">
        <v>0.54</v>
      </c>
      <c r="K298" s="4" t="s">
        <v>39</v>
      </c>
    </row>
    <row r="299" spans="1:11" hidden="1" x14ac:dyDescent="0.2">
      <c r="A299">
        <v>11</v>
      </c>
      <c r="B299">
        <v>1</v>
      </c>
      <c r="D299" t="s">
        <v>7</v>
      </c>
      <c r="F299" t="s">
        <v>0</v>
      </c>
      <c r="G299" t="s">
        <v>18</v>
      </c>
      <c r="H299" t="s">
        <v>37</v>
      </c>
      <c r="I299">
        <v>3.77</v>
      </c>
      <c r="J299">
        <v>1.78</v>
      </c>
      <c r="K299" s="4" t="s">
        <v>40</v>
      </c>
    </row>
    <row r="300" spans="1:11" hidden="1" x14ac:dyDescent="0.2">
      <c r="A300">
        <v>11</v>
      </c>
      <c r="B300">
        <v>1</v>
      </c>
      <c r="D300" t="s">
        <v>7</v>
      </c>
      <c r="F300" t="s">
        <v>0</v>
      </c>
      <c r="G300" t="s">
        <v>18</v>
      </c>
      <c r="H300" t="s">
        <v>37</v>
      </c>
      <c r="I300">
        <v>3.51</v>
      </c>
      <c r="J300">
        <v>2.56</v>
      </c>
      <c r="K300" s="4" t="s">
        <v>40</v>
      </c>
    </row>
    <row r="301" spans="1:11" hidden="1" x14ac:dyDescent="0.2">
      <c r="A301">
        <v>11</v>
      </c>
      <c r="B301">
        <v>1</v>
      </c>
      <c r="D301" t="s">
        <v>7</v>
      </c>
      <c r="F301" t="s">
        <v>0</v>
      </c>
      <c r="G301" t="s">
        <v>18</v>
      </c>
      <c r="H301" t="s">
        <v>37</v>
      </c>
      <c r="I301">
        <v>3.26</v>
      </c>
      <c r="J301">
        <v>1.89</v>
      </c>
      <c r="K301" s="4" t="s">
        <v>40</v>
      </c>
    </row>
    <row r="302" spans="1:11" hidden="1" x14ac:dyDescent="0.2">
      <c r="A302">
        <v>11</v>
      </c>
      <c r="B302">
        <v>1</v>
      </c>
      <c r="D302" t="s">
        <v>7</v>
      </c>
      <c r="F302" t="s">
        <v>0</v>
      </c>
      <c r="G302" t="s">
        <v>18</v>
      </c>
      <c r="H302" t="s">
        <v>37</v>
      </c>
      <c r="I302">
        <v>2.27</v>
      </c>
      <c r="J302">
        <v>2.1800000000000002</v>
      </c>
      <c r="K302" s="4" t="s">
        <v>40</v>
      </c>
    </row>
    <row r="303" spans="1:11" hidden="1" x14ac:dyDescent="0.2">
      <c r="A303">
        <v>11</v>
      </c>
      <c r="B303">
        <v>1</v>
      </c>
      <c r="D303" t="s">
        <v>7</v>
      </c>
      <c r="F303" t="s">
        <v>0</v>
      </c>
      <c r="G303" t="s">
        <v>18</v>
      </c>
      <c r="H303" t="s">
        <v>37</v>
      </c>
      <c r="I303">
        <v>3.38</v>
      </c>
      <c r="J303">
        <v>0.9</v>
      </c>
      <c r="K303" s="4" t="s">
        <v>40</v>
      </c>
    </row>
    <row r="304" spans="1:11" hidden="1" x14ac:dyDescent="0.2">
      <c r="A304">
        <v>11</v>
      </c>
      <c r="B304">
        <v>1</v>
      </c>
      <c r="D304" t="s">
        <v>7</v>
      </c>
      <c r="F304" t="s">
        <v>0</v>
      </c>
      <c r="G304" t="s">
        <v>18</v>
      </c>
      <c r="H304" t="s">
        <v>37</v>
      </c>
      <c r="I304">
        <v>2.4300000000000002</v>
      </c>
      <c r="J304">
        <v>0.98</v>
      </c>
      <c r="K304" s="4" t="s">
        <v>40</v>
      </c>
    </row>
    <row r="305" spans="1:11" hidden="1" x14ac:dyDescent="0.2">
      <c r="A305">
        <v>11</v>
      </c>
      <c r="B305">
        <v>1</v>
      </c>
      <c r="D305" t="s">
        <v>7</v>
      </c>
      <c r="F305" t="s">
        <v>0</v>
      </c>
      <c r="G305" t="s">
        <v>18</v>
      </c>
      <c r="H305" t="s">
        <v>37</v>
      </c>
      <c r="I305">
        <v>3.28</v>
      </c>
      <c r="J305">
        <v>1.94</v>
      </c>
      <c r="K305" s="4" t="s">
        <v>40</v>
      </c>
    </row>
    <row r="306" spans="1:11" hidden="1" x14ac:dyDescent="0.2">
      <c r="A306">
        <v>11</v>
      </c>
      <c r="B306">
        <v>1</v>
      </c>
      <c r="D306" t="s">
        <v>7</v>
      </c>
      <c r="F306" t="s">
        <v>0</v>
      </c>
      <c r="G306" t="s">
        <v>18</v>
      </c>
      <c r="H306" t="s">
        <v>37</v>
      </c>
      <c r="I306">
        <v>1.98</v>
      </c>
      <c r="J306">
        <v>1.05</v>
      </c>
      <c r="K306" s="4" t="s">
        <v>40</v>
      </c>
    </row>
    <row r="307" spans="1:11" hidden="1" x14ac:dyDescent="0.2">
      <c r="A307">
        <v>11</v>
      </c>
      <c r="B307">
        <v>1</v>
      </c>
      <c r="D307" t="s">
        <v>7</v>
      </c>
      <c r="F307" t="s">
        <v>0</v>
      </c>
      <c r="G307" t="s">
        <v>18</v>
      </c>
      <c r="H307" t="s">
        <v>37</v>
      </c>
      <c r="I307">
        <v>3.12</v>
      </c>
      <c r="J307">
        <v>1.01</v>
      </c>
      <c r="K307" s="4" t="s">
        <v>40</v>
      </c>
    </row>
    <row r="308" spans="1:11" hidden="1" x14ac:dyDescent="0.2">
      <c r="A308">
        <v>11</v>
      </c>
      <c r="B308">
        <v>1</v>
      </c>
      <c r="D308" t="s">
        <v>7</v>
      </c>
      <c r="F308" t="s">
        <v>0</v>
      </c>
      <c r="G308" t="s">
        <v>18</v>
      </c>
      <c r="H308" t="s">
        <v>37</v>
      </c>
      <c r="I308">
        <v>4.18</v>
      </c>
      <c r="J308">
        <v>2.0099999999999998</v>
      </c>
      <c r="K308" s="4" t="s">
        <v>41</v>
      </c>
    </row>
    <row r="309" spans="1:11" hidden="1" x14ac:dyDescent="0.2">
      <c r="A309">
        <v>11</v>
      </c>
      <c r="B309">
        <v>1</v>
      </c>
      <c r="D309" t="s">
        <v>7</v>
      </c>
      <c r="F309" t="s">
        <v>0</v>
      </c>
      <c r="G309" t="s">
        <v>18</v>
      </c>
      <c r="H309" t="s">
        <v>37</v>
      </c>
      <c r="I309">
        <v>1.04</v>
      </c>
      <c r="J309">
        <v>0.57999999999999996</v>
      </c>
      <c r="K309" s="4" t="s">
        <v>41</v>
      </c>
    </row>
    <row r="310" spans="1:11" hidden="1" x14ac:dyDescent="0.2">
      <c r="A310">
        <v>11</v>
      </c>
      <c r="B310">
        <v>1</v>
      </c>
      <c r="D310" t="s">
        <v>7</v>
      </c>
      <c r="F310" t="s">
        <v>0</v>
      </c>
      <c r="G310" t="s">
        <v>18</v>
      </c>
      <c r="H310" t="s">
        <v>37</v>
      </c>
      <c r="I310">
        <v>3.05</v>
      </c>
      <c r="J310">
        <v>3.12</v>
      </c>
      <c r="K310" s="4" t="s">
        <v>41</v>
      </c>
    </row>
    <row r="311" spans="1:11" hidden="1" x14ac:dyDescent="0.2">
      <c r="A311">
        <v>11</v>
      </c>
      <c r="B311">
        <v>1</v>
      </c>
      <c r="D311" t="s">
        <v>7</v>
      </c>
      <c r="F311" t="s">
        <v>0</v>
      </c>
      <c r="G311" t="s">
        <v>18</v>
      </c>
      <c r="H311" t="s">
        <v>37</v>
      </c>
      <c r="I311">
        <v>4.05</v>
      </c>
      <c r="J311">
        <v>1.42</v>
      </c>
      <c r="K311" s="4" t="s">
        <v>41</v>
      </c>
    </row>
    <row r="312" spans="1:11" hidden="1" x14ac:dyDescent="0.2">
      <c r="A312">
        <v>11</v>
      </c>
      <c r="B312">
        <v>1</v>
      </c>
      <c r="D312" t="s">
        <v>7</v>
      </c>
      <c r="F312" t="s">
        <v>0</v>
      </c>
      <c r="G312" t="s">
        <v>18</v>
      </c>
      <c r="H312" t="s">
        <v>37</v>
      </c>
      <c r="I312">
        <v>1.1299999999999999</v>
      </c>
      <c r="J312">
        <v>0.56999999999999995</v>
      </c>
      <c r="K312" s="4" t="s">
        <v>41</v>
      </c>
    </row>
    <row r="313" spans="1:11" hidden="1" x14ac:dyDescent="0.2">
      <c r="A313">
        <v>11</v>
      </c>
      <c r="B313">
        <v>1</v>
      </c>
      <c r="D313" t="s">
        <v>7</v>
      </c>
      <c r="F313" t="s">
        <v>0</v>
      </c>
      <c r="G313" t="s">
        <v>18</v>
      </c>
      <c r="H313" t="s">
        <v>37</v>
      </c>
      <c r="I313">
        <v>2.31</v>
      </c>
      <c r="J313">
        <v>2.4900000000000002</v>
      </c>
      <c r="K313" s="4" t="s">
        <v>41</v>
      </c>
    </row>
    <row r="314" spans="1:11" hidden="1" x14ac:dyDescent="0.2">
      <c r="A314">
        <v>11</v>
      </c>
      <c r="B314">
        <v>1</v>
      </c>
      <c r="D314" t="s">
        <v>7</v>
      </c>
      <c r="F314" t="s">
        <v>0</v>
      </c>
      <c r="G314" t="s">
        <v>18</v>
      </c>
      <c r="H314" t="s">
        <v>37</v>
      </c>
      <c r="I314">
        <v>1.59</v>
      </c>
      <c r="J314">
        <v>0.97</v>
      </c>
      <c r="K314" s="4" t="s">
        <v>41</v>
      </c>
    </row>
    <row r="315" spans="1:11" hidden="1" x14ac:dyDescent="0.2">
      <c r="A315">
        <v>11</v>
      </c>
      <c r="B315">
        <v>1</v>
      </c>
      <c r="D315" t="s">
        <v>7</v>
      </c>
      <c r="F315" t="s">
        <v>0</v>
      </c>
      <c r="G315" t="s">
        <v>18</v>
      </c>
      <c r="H315" t="s">
        <v>37</v>
      </c>
      <c r="I315">
        <v>2.7</v>
      </c>
      <c r="J315">
        <v>1.36</v>
      </c>
      <c r="K315" s="4" t="s">
        <v>41</v>
      </c>
    </row>
    <row r="316" spans="1:11" hidden="1" x14ac:dyDescent="0.2">
      <c r="A316">
        <v>11</v>
      </c>
      <c r="B316">
        <v>1</v>
      </c>
      <c r="D316" t="s">
        <v>7</v>
      </c>
      <c r="F316" t="s">
        <v>0</v>
      </c>
      <c r="G316" t="s">
        <v>18</v>
      </c>
      <c r="H316" t="s">
        <v>37</v>
      </c>
      <c r="I316">
        <v>3.65</v>
      </c>
      <c r="J316">
        <v>2.09</v>
      </c>
      <c r="K316" s="4" t="s">
        <v>41</v>
      </c>
    </row>
    <row r="317" spans="1:11" hidden="1" x14ac:dyDescent="0.2">
      <c r="A317">
        <v>11</v>
      </c>
      <c r="B317">
        <v>1</v>
      </c>
      <c r="D317" t="s">
        <v>7</v>
      </c>
      <c r="F317" t="s">
        <v>0</v>
      </c>
      <c r="G317" t="s">
        <v>18</v>
      </c>
      <c r="H317" t="s">
        <v>37</v>
      </c>
      <c r="I317">
        <v>3.18</v>
      </c>
      <c r="J317">
        <v>1.64</v>
      </c>
      <c r="K317" s="4" t="s">
        <v>41</v>
      </c>
    </row>
    <row r="318" spans="1:11" hidden="1" x14ac:dyDescent="0.2">
      <c r="A318">
        <v>11</v>
      </c>
      <c r="B318">
        <v>1</v>
      </c>
      <c r="D318" t="s">
        <v>7</v>
      </c>
      <c r="F318" t="s">
        <v>0</v>
      </c>
      <c r="G318" t="s">
        <v>18</v>
      </c>
      <c r="H318" t="s">
        <v>37</v>
      </c>
      <c r="I318">
        <v>2.2000000000000002</v>
      </c>
      <c r="J318">
        <v>1.19</v>
      </c>
      <c r="K318" s="4" t="s">
        <v>41</v>
      </c>
    </row>
    <row r="319" spans="1:11" hidden="1" x14ac:dyDescent="0.2">
      <c r="A319">
        <v>11</v>
      </c>
      <c r="B319">
        <v>1</v>
      </c>
      <c r="D319" t="s">
        <v>7</v>
      </c>
      <c r="F319" t="s">
        <v>0</v>
      </c>
      <c r="G319" t="s">
        <v>18</v>
      </c>
      <c r="H319" t="s">
        <v>37</v>
      </c>
      <c r="I319">
        <v>3.31</v>
      </c>
      <c r="J319">
        <v>0.74</v>
      </c>
      <c r="K319" s="4" t="s">
        <v>41</v>
      </c>
    </row>
    <row r="320" spans="1:11" hidden="1" x14ac:dyDescent="0.2">
      <c r="A320">
        <v>11</v>
      </c>
      <c r="B320">
        <v>1</v>
      </c>
      <c r="D320" t="s">
        <v>7</v>
      </c>
      <c r="F320" t="s">
        <v>0</v>
      </c>
      <c r="G320" t="s">
        <v>18</v>
      </c>
      <c r="H320" t="s">
        <v>37</v>
      </c>
      <c r="I320">
        <v>1.46</v>
      </c>
      <c r="J320">
        <v>0.55000000000000004</v>
      </c>
      <c r="K320" s="4" t="s">
        <v>41</v>
      </c>
    </row>
    <row r="321" spans="1:11" hidden="1" x14ac:dyDescent="0.2">
      <c r="A321">
        <v>11</v>
      </c>
      <c r="B321">
        <v>1</v>
      </c>
      <c r="D321" t="s">
        <v>7</v>
      </c>
      <c r="F321" t="s">
        <v>0</v>
      </c>
      <c r="G321" t="s">
        <v>18</v>
      </c>
      <c r="H321" t="s">
        <v>37</v>
      </c>
      <c r="I321">
        <v>1.9</v>
      </c>
      <c r="J321">
        <v>0.86</v>
      </c>
      <c r="K321" s="4" t="s">
        <v>41</v>
      </c>
    </row>
    <row r="322" spans="1:11" hidden="1" x14ac:dyDescent="0.2">
      <c r="A322">
        <v>11</v>
      </c>
      <c r="B322">
        <v>1</v>
      </c>
      <c r="D322" t="s">
        <v>7</v>
      </c>
      <c r="F322" t="s">
        <v>0</v>
      </c>
      <c r="G322" t="s">
        <v>18</v>
      </c>
      <c r="H322" t="s">
        <v>37</v>
      </c>
      <c r="I322">
        <v>2.2000000000000002</v>
      </c>
      <c r="J322">
        <v>1.72</v>
      </c>
      <c r="K322" s="4" t="s">
        <v>41</v>
      </c>
    </row>
    <row r="323" spans="1:11" hidden="1" x14ac:dyDescent="0.2">
      <c r="A323">
        <v>11</v>
      </c>
      <c r="B323">
        <v>1</v>
      </c>
      <c r="D323" t="s">
        <v>7</v>
      </c>
      <c r="F323" t="s">
        <v>0</v>
      </c>
      <c r="G323" t="s">
        <v>18</v>
      </c>
      <c r="H323" t="s">
        <v>37</v>
      </c>
      <c r="I323">
        <v>3.8</v>
      </c>
      <c r="J323">
        <v>2.16</v>
      </c>
      <c r="K323" s="4" t="s">
        <v>41</v>
      </c>
    </row>
    <row r="324" spans="1:11" hidden="1" x14ac:dyDescent="0.2">
      <c r="A324">
        <v>11</v>
      </c>
      <c r="B324">
        <v>1</v>
      </c>
      <c r="D324" t="s">
        <v>7</v>
      </c>
      <c r="F324" t="s">
        <v>0</v>
      </c>
      <c r="G324" t="s">
        <v>18</v>
      </c>
      <c r="H324" t="s">
        <v>37</v>
      </c>
      <c r="I324">
        <v>2.65</v>
      </c>
      <c r="J324">
        <v>1.0900000000000001</v>
      </c>
      <c r="K324" t="s">
        <v>42</v>
      </c>
    </row>
    <row r="325" spans="1:11" hidden="1" x14ac:dyDescent="0.2">
      <c r="A325">
        <v>11</v>
      </c>
      <c r="B325">
        <v>1</v>
      </c>
      <c r="D325" t="s">
        <v>7</v>
      </c>
      <c r="F325" t="s">
        <v>0</v>
      </c>
      <c r="G325" t="s">
        <v>18</v>
      </c>
      <c r="H325" t="s">
        <v>37</v>
      </c>
      <c r="I325">
        <v>2.1</v>
      </c>
      <c r="J325">
        <v>1.41</v>
      </c>
      <c r="K325" t="s">
        <v>42</v>
      </c>
    </row>
    <row r="326" spans="1:11" hidden="1" x14ac:dyDescent="0.2">
      <c r="A326">
        <v>11</v>
      </c>
      <c r="B326">
        <v>1</v>
      </c>
      <c r="D326" t="s">
        <v>7</v>
      </c>
      <c r="F326" t="s">
        <v>0</v>
      </c>
      <c r="G326" t="s">
        <v>18</v>
      </c>
      <c r="H326" t="s">
        <v>37</v>
      </c>
      <c r="I326">
        <v>3.21</v>
      </c>
      <c r="J326">
        <v>2.38</v>
      </c>
      <c r="K326" t="s">
        <v>42</v>
      </c>
    </row>
    <row r="327" spans="1:11" hidden="1" x14ac:dyDescent="0.2">
      <c r="A327">
        <v>11</v>
      </c>
      <c r="B327">
        <v>1</v>
      </c>
      <c r="D327" t="s">
        <v>7</v>
      </c>
      <c r="F327" t="s">
        <v>0</v>
      </c>
      <c r="G327" t="s">
        <v>18</v>
      </c>
      <c r="H327" t="s">
        <v>37</v>
      </c>
      <c r="I327">
        <v>1.91</v>
      </c>
      <c r="J327">
        <v>1.36</v>
      </c>
      <c r="K327" t="s">
        <v>42</v>
      </c>
    </row>
    <row r="328" spans="1:11" hidden="1" x14ac:dyDescent="0.2">
      <c r="A328">
        <v>11</v>
      </c>
      <c r="B328">
        <v>1</v>
      </c>
      <c r="D328" t="s">
        <v>7</v>
      </c>
      <c r="F328" t="s">
        <v>0</v>
      </c>
      <c r="G328" t="s">
        <v>18</v>
      </c>
      <c r="H328" t="s">
        <v>37</v>
      </c>
      <c r="I328">
        <v>2.63</v>
      </c>
      <c r="J328">
        <v>1.22</v>
      </c>
      <c r="K328" t="s">
        <v>42</v>
      </c>
    </row>
    <row r="329" spans="1:11" hidden="1" x14ac:dyDescent="0.2">
      <c r="A329">
        <v>11</v>
      </c>
      <c r="B329">
        <v>1</v>
      </c>
      <c r="D329" t="s">
        <v>7</v>
      </c>
      <c r="F329" t="s">
        <v>0</v>
      </c>
      <c r="G329" t="s">
        <v>18</v>
      </c>
      <c r="H329" t="s">
        <v>37</v>
      </c>
      <c r="I329">
        <v>2.39</v>
      </c>
      <c r="J329">
        <v>2.5499999999999998</v>
      </c>
      <c r="K329" t="s">
        <v>42</v>
      </c>
    </row>
    <row r="330" spans="1:11" hidden="1" x14ac:dyDescent="0.2">
      <c r="A330">
        <v>11</v>
      </c>
      <c r="B330">
        <v>1</v>
      </c>
      <c r="D330" t="s">
        <v>7</v>
      </c>
      <c r="F330" t="s">
        <v>0</v>
      </c>
      <c r="G330" t="s">
        <v>18</v>
      </c>
      <c r="H330" t="s">
        <v>37</v>
      </c>
      <c r="I330">
        <v>1.17</v>
      </c>
      <c r="J330">
        <v>0.51</v>
      </c>
      <c r="K330" t="s">
        <v>42</v>
      </c>
    </row>
    <row r="331" spans="1:11" hidden="1" x14ac:dyDescent="0.2">
      <c r="A331">
        <v>11</v>
      </c>
      <c r="B331">
        <v>1</v>
      </c>
      <c r="D331" t="s">
        <v>7</v>
      </c>
      <c r="F331" t="s">
        <v>0</v>
      </c>
      <c r="G331" t="s">
        <v>18</v>
      </c>
      <c r="H331" t="s">
        <v>37</v>
      </c>
      <c r="I331">
        <v>3.95</v>
      </c>
      <c r="J331">
        <v>1.96</v>
      </c>
      <c r="K331" t="s">
        <v>42</v>
      </c>
    </row>
    <row r="332" spans="1:11" hidden="1" x14ac:dyDescent="0.2">
      <c r="A332">
        <v>11</v>
      </c>
      <c r="B332">
        <v>1</v>
      </c>
      <c r="D332" t="s">
        <v>7</v>
      </c>
      <c r="F332" t="s">
        <v>0</v>
      </c>
      <c r="G332" t="s">
        <v>18</v>
      </c>
      <c r="H332" t="s">
        <v>37</v>
      </c>
      <c r="I332">
        <v>5.13</v>
      </c>
      <c r="J332">
        <v>1.85</v>
      </c>
      <c r="K332" t="s">
        <v>42</v>
      </c>
    </row>
    <row r="333" spans="1:11" hidden="1" x14ac:dyDescent="0.2">
      <c r="A333">
        <v>11</v>
      </c>
      <c r="B333">
        <v>1</v>
      </c>
      <c r="D333" t="s">
        <v>7</v>
      </c>
      <c r="F333" t="s">
        <v>0</v>
      </c>
      <c r="G333" t="s">
        <v>18</v>
      </c>
      <c r="H333" t="s">
        <v>37</v>
      </c>
      <c r="I333">
        <v>2.91</v>
      </c>
      <c r="J333">
        <v>1.51</v>
      </c>
      <c r="K333" t="s">
        <v>42</v>
      </c>
    </row>
    <row r="334" spans="1:11" hidden="1" x14ac:dyDescent="0.2">
      <c r="A334">
        <v>11</v>
      </c>
      <c r="B334">
        <v>1</v>
      </c>
      <c r="D334" t="s">
        <v>7</v>
      </c>
      <c r="F334" t="s">
        <v>0</v>
      </c>
      <c r="G334" t="s">
        <v>18</v>
      </c>
      <c r="H334" t="s">
        <v>37</v>
      </c>
      <c r="I334">
        <v>2.36</v>
      </c>
      <c r="J334">
        <v>1.65</v>
      </c>
      <c r="K334" t="s">
        <v>42</v>
      </c>
    </row>
    <row r="335" spans="1:11" hidden="1" x14ac:dyDescent="0.2">
      <c r="A335">
        <v>11</v>
      </c>
      <c r="B335">
        <v>1</v>
      </c>
      <c r="D335" t="s">
        <v>7</v>
      </c>
      <c r="F335" t="s">
        <v>0</v>
      </c>
      <c r="G335" t="s">
        <v>18</v>
      </c>
      <c r="H335" t="s">
        <v>37</v>
      </c>
      <c r="I335">
        <v>1.66</v>
      </c>
      <c r="J335">
        <v>0.92</v>
      </c>
      <c r="K335" t="s">
        <v>42</v>
      </c>
    </row>
    <row r="336" spans="1:11" hidden="1" x14ac:dyDescent="0.2">
      <c r="A336">
        <v>11</v>
      </c>
      <c r="B336">
        <v>1</v>
      </c>
      <c r="D336" t="s">
        <v>7</v>
      </c>
      <c r="F336" t="s">
        <v>0</v>
      </c>
      <c r="G336" t="s">
        <v>18</v>
      </c>
      <c r="H336" t="s">
        <v>37</v>
      </c>
      <c r="I336">
        <v>3.15</v>
      </c>
      <c r="J336">
        <v>0.91</v>
      </c>
      <c r="K336" t="s">
        <v>42</v>
      </c>
    </row>
    <row r="337" spans="1:11" hidden="1" x14ac:dyDescent="0.2">
      <c r="A337">
        <v>11</v>
      </c>
      <c r="B337">
        <v>1</v>
      </c>
      <c r="D337" t="s">
        <v>7</v>
      </c>
      <c r="F337" t="s">
        <v>0</v>
      </c>
      <c r="G337" t="s">
        <v>18</v>
      </c>
      <c r="H337" t="s">
        <v>37</v>
      </c>
      <c r="I337">
        <v>2.19</v>
      </c>
      <c r="J337">
        <v>1.64</v>
      </c>
      <c r="K337" t="s">
        <v>42</v>
      </c>
    </row>
    <row r="338" spans="1:11" hidden="1" x14ac:dyDescent="0.2">
      <c r="A338">
        <v>11</v>
      </c>
      <c r="B338">
        <v>1</v>
      </c>
      <c r="D338" t="s">
        <v>7</v>
      </c>
      <c r="F338" t="s">
        <v>0</v>
      </c>
      <c r="G338" t="s">
        <v>18</v>
      </c>
      <c r="H338" t="s">
        <v>37</v>
      </c>
      <c r="I338">
        <v>2.5299999999999998</v>
      </c>
      <c r="J338">
        <v>0.77</v>
      </c>
      <c r="K338" s="4" t="s">
        <v>43</v>
      </c>
    </row>
    <row r="339" spans="1:11" hidden="1" x14ac:dyDescent="0.2">
      <c r="A339">
        <v>11</v>
      </c>
      <c r="B339">
        <v>1</v>
      </c>
      <c r="D339" t="s">
        <v>7</v>
      </c>
      <c r="F339" t="s">
        <v>0</v>
      </c>
      <c r="G339" t="s">
        <v>18</v>
      </c>
      <c r="H339" t="s">
        <v>37</v>
      </c>
      <c r="I339">
        <v>3.88</v>
      </c>
      <c r="J339">
        <v>1.86</v>
      </c>
      <c r="K339" s="4" t="s">
        <v>43</v>
      </c>
    </row>
    <row r="340" spans="1:11" hidden="1" x14ac:dyDescent="0.2">
      <c r="A340">
        <v>11</v>
      </c>
      <c r="B340">
        <v>1</v>
      </c>
      <c r="D340" t="s">
        <v>7</v>
      </c>
      <c r="F340" t="s">
        <v>0</v>
      </c>
      <c r="G340" t="s">
        <v>18</v>
      </c>
      <c r="H340" t="s">
        <v>37</v>
      </c>
      <c r="I340">
        <v>1.63</v>
      </c>
      <c r="J340">
        <v>0.92</v>
      </c>
      <c r="K340" s="4" t="s">
        <v>43</v>
      </c>
    </row>
    <row r="341" spans="1:11" hidden="1" x14ac:dyDescent="0.2">
      <c r="A341">
        <v>11</v>
      </c>
      <c r="B341">
        <v>1</v>
      </c>
      <c r="D341" t="s">
        <v>7</v>
      </c>
      <c r="F341" t="s">
        <v>0</v>
      </c>
      <c r="G341" t="s">
        <v>18</v>
      </c>
      <c r="H341" t="s">
        <v>37</v>
      </c>
      <c r="I341">
        <v>1.02</v>
      </c>
      <c r="J341">
        <v>1.02</v>
      </c>
      <c r="K341" s="4" t="s">
        <v>43</v>
      </c>
    </row>
    <row r="342" spans="1:11" hidden="1" x14ac:dyDescent="0.2">
      <c r="A342">
        <v>11</v>
      </c>
      <c r="B342">
        <v>1</v>
      </c>
      <c r="D342" t="s">
        <v>7</v>
      </c>
      <c r="F342" t="s">
        <v>0</v>
      </c>
      <c r="G342" t="s">
        <v>18</v>
      </c>
      <c r="H342" t="s">
        <v>37</v>
      </c>
      <c r="I342">
        <v>2.72</v>
      </c>
      <c r="J342">
        <v>0.52</v>
      </c>
      <c r="K342" s="4" t="s">
        <v>43</v>
      </c>
    </row>
    <row r="343" spans="1:11" hidden="1" x14ac:dyDescent="0.2">
      <c r="A343">
        <v>11</v>
      </c>
      <c r="B343">
        <v>1</v>
      </c>
      <c r="D343" t="s">
        <v>7</v>
      </c>
      <c r="F343" t="s">
        <v>0</v>
      </c>
      <c r="G343" t="s">
        <v>18</v>
      </c>
      <c r="H343" t="s">
        <v>37</v>
      </c>
      <c r="I343">
        <v>1.31</v>
      </c>
      <c r="J343">
        <v>0.48</v>
      </c>
      <c r="K343" s="4" t="s">
        <v>43</v>
      </c>
    </row>
    <row r="344" spans="1:11" hidden="1" x14ac:dyDescent="0.2">
      <c r="A344">
        <v>11</v>
      </c>
      <c r="B344">
        <v>1</v>
      </c>
      <c r="D344" t="s">
        <v>7</v>
      </c>
      <c r="F344" t="s">
        <v>0</v>
      </c>
      <c r="G344" t="s">
        <v>18</v>
      </c>
      <c r="H344" t="s">
        <v>37</v>
      </c>
      <c r="I344">
        <v>1.85</v>
      </c>
      <c r="J344">
        <v>0.43</v>
      </c>
      <c r="K344" s="4" t="s">
        <v>43</v>
      </c>
    </row>
    <row r="345" spans="1:11" hidden="1" x14ac:dyDescent="0.2">
      <c r="A345">
        <v>11</v>
      </c>
      <c r="B345">
        <v>1</v>
      </c>
      <c r="D345" t="s">
        <v>7</v>
      </c>
      <c r="F345" t="s">
        <v>0</v>
      </c>
      <c r="G345" t="s">
        <v>18</v>
      </c>
      <c r="H345" t="s">
        <v>37</v>
      </c>
      <c r="I345">
        <v>2.31</v>
      </c>
      <c r="J345">
        <v>1.32</v>
      </c>
      <c r="K345" s="4" t="s">
        <v>43</v>
      </c>
    </row>
    <row r="346" spans="1:11" hidden="1" x14ac:dyDescent="0.2">
      <c r="A346">
        <v>11</v>
      </c>
      <c r="B346">
        <v>1</v>
      </c>
      <c r="D346" t="s">
        <v>7</v>
      </c>
      <c r="F346" t="s">
        <v>0</v>
      </c>
      <c r="G346" t="s">
        <v>18</v>
      </c>
      <c r="H346" t="s">
        <v>37</v>
      </c>
      <c r="I346">
        <v>1.57</v>
      </c>
      <c r="J346">
        <v>0.94</v>
      </c>
      <c r="K346" s="4" t="s">
        <v>43</v>
      </c>
    </row>
    <row r="347" spans="1:11" hidden="1" x14ac:dyDescent="0.2">
      <c r="A347">
        <v>11</v>
      </c>
      <c r="B347">
        <v>1</v>
      </c>
      <c r="D347" t="s">
        <v>7</v>
      </c>
      <c r="F347" t="s">
        <v>0</v>
      </c>
      <c r="G347" t="s">
        <v>18</v>
      </c>
      <c r="H347" t="s">
        <v>37</v>
      </c>
      <c r="I347">
        <v>1.57</v>
      </c>
      <c r="J347">
        <v>1.01</v>
      </c>
      <c r="K347" s="4" t="s">
        <v>43</v>
      </c>
    </row>
    <row r="348" spans="1:11" hidden="1" x14ac:dyDescent="0.2">
      <c r="A348">
        <v>11</v>
      </c>
      <c r="B348">
        <v>1</v>
      </c>
      <c r="D348" t="s">
        <v>7</v>
      </c>
      <c r="F348" t="s">
        <v>0</v>
      </c>
      <c r="G348" t="s">
        <v>18</v>
      </c>
      <c r="H348" t="s">
        <v>37</v>
      </c>
      <c r="I348">
        <v>4.09</v>
      </c>
      <c r="J348">
        <v>2.1</v>
      </c>
      <c r="K348" s="4" t="s">
        <v>43</v>
      </c>
    </row>
    <row r="349" spans="1:11" hidden="1" x14ac:dyDescent="0.2">
      <c r="A349">
        <v>11</v>
      </c>
      <c r="B349">
        <v>1</v>
      </c>
      <c r="D349" t="s">
        <v>7</v>
      </c>
      <c r="F349" t="s">
        <v>0</v>
      </c>
      <c r="G349" t="s">
        <v>18</v>
      </c>
      <c r="H349" t="s">
        <v>37</v>
      </c>
      <c r="I349">
        <v>3.49</v>
      </c>
      <c r="J349">
        <v>2.39</v>
      </c>
      <c r="K349" s="4" t="s">
        <v>43</v>
      </c>
    </row>
    <row r="350" spans="1:11" hidden="1" x14ac:dyDescent="0.2">
      <c r="A350">
        <v>11</v>
      </c>
      <c r="B350">
        <v>1</v>
      </c>
      <c r="D350" t="s">
        <v>7</v>
      </c>
      <c r="F350" t="s">
        <v>0</v>
      </c>
      <c r="G350" t="s">
        <v>18</v>
      </c>
      <c r="H350" t="s">
        <v>37</v>
      </c>
      <c r="I350">
        <v>2.1800000000000002</v>
      </c>
      <c r="J350">
        <v>0.81</v>
      </c>
      <c r="K350" s="4" t="s">
        <v>43</v>
      </c>
    </row>
    <row r="351" spans="1:11" hidden="1" x14ac:dyDescent="0.2">
      <c r="A351">
        <v>11</v>
      </c>
      <c r="B351">
        <v>1</v>
      </c>
      <c r="D351" t="s">
        <v>7</v>
      </c>
      <c r="F351" t="s">
        <v>0</v>
      </c>
      <c r="G351" t="s">
        <v>18</v>
      </c>
      <c r="H351" t="s">
        <v>37</v>
      </c>
      <c r="I351">
        <v>1.51</v>
      </c>
      <c r="J351">
        <v>0.66</v>
      </c>
      <c r="K351" s="4" t="s">
        <v>43</v>
      </c>
    </row>
    <row r="352" spans="1:11" x14ac:dyDescent="0.2">
      <c r="A352">
        <v>11</v>
      </c>
      <c r="B352">
        <v>1</v>
      </c>
      <c r="D352" t="s">
        <v>7</v>
      </c>
      <c r="E352" s="3" t="s">
        <v>1</v>
      </c>
      <c r="F352" t="s">
        <v>0</v>
      </c>
      <c r="G352" t="s">
        <v>3</v>
      </c>
      <c r="H352" t="s">
        <v>5</v>
      </c>
      <c r="I352">
        <v>2.33</v>
      </c>
      <c r="J352">
        <v>0.71</v>
      </c>
      <c r="K352" s="4" t="s">
        <v>44</v>
      </c>
    </row>
    <row r="353" spans="1:11" x14ac:dyDescent="0.2">
      <c r="A353">
        <v>11</v>
      </c>
      <c r="B353">
        <v>1</v>
      </c>
      <c r="D353" t="s">
        <v>7</v>
      </c>
      <c r="E353" s="3" t="s">
        <v>1</v>
      </c>
      <c r="F353" t="s">
        <v>0</v>
      </c>
      <c r="G353" t="s">
        <v>3</v>
      </c>
      <c r="H353" t="s">
        <v>5</v>
      </c>
      <c r="I353">
        <v>2.3199999999999998</v>
      </c>
      <c r="J353">
        <v>0.78</v>
      </c>
      <c r="K353" s="4" t="s">
        <v>44</v>
      </c>
    </row>
    <row r="354" spans="1:11" hidden="1" x14ac:dyDescent="0.2">
      <c r="A354">
        <v>11</v>
      </c>
      <c r="B354">
        <v>1</v>
      </c>
      <c r="D354" t="s">
        <v>7</v>
      </c>
      <c r="E354" s="3" t="s">
        <v>1</v>
      </c>
      <c r="F354" t="s">
        <v>0</v>
      </c>
      <c r="G354" t="s">
        <v>18</v>
      </c>
      <c r="H354" t="s">
        <v>37</v>
      </c>
      <c r="I354">
        <v>9.02</v>
      </c>
      <c r="J354">
        <v>4.79</v>
      </c>
      <c r="K354" s="4" t="s">
        <v>45</v>
      </c>
    </row>
    <row r="355" spans="1:11" hidden="1" x14ac:dyDescent="0.2">
      <c r="A355">
        <v>11</v>
      </c>
      <c r="B355">
        <v>1</v>
      </c>
      <c r="D355" t="s">
        <v>7</v>
      </c>
      <c r="E355" s="3" t="s">
        <v>1</v>
      </c>
      <c r="F355" t="s">
        <v>0</v>
      </c>
      <c r="G355" t="s">
        <v>18</v>
      </c>
      <c r="H355" t="s">
        <v>37</v>
      </c>
      <c r="I355">
        <v>3.59</v>
      </c>
      <c r="J355">
        <v>0.28999999999999998</v>
      </c>
      <c r="K355" s="4" t="s">
        <v>45</v>
      </c>
    </row>
    <row r="356" spans="1:11" hidden="1" x14ac:dyDescent="0.2">
      <c r="A356">
        <v>11</v>
      </c>
      <c r="B356">
        <v>1</v>
      </c>
      <c r="D356" t="s">
        <v>7</v>
      </c>
      <c r="E356" s="3" t="s">
        <v>1</v>
      </c>
      <c r="F356" t="s">
        <v>0</v>
      </c>
      <c r="G356" t="s">
        <v>18</v>
      </c>
      <c r="H356" t="s">
        <v>37</v>
      </c>
      <c r="I356">
        <v>4.4400000000000004</v>
      </c>
      <c r="J356">
        <v>0.51</v>
      </c>
      <c r="K356" s="4" t="s">
        <v>45</v>
      </c>
    </row>
    <row r="357" spans="1:11" hidden="1" x14ac:dyDescent="0.2">
      <c r="A357">
        <v>11</v>
      </c>
      <c r="B357">
        <v>1</v>
      </c>
      <c r="D357" t="s">
        <v>7</v>
      </c>
      <c r="E357" s="3" t="s">
        <v>1</v>
      </c>
      <c r="F357" t="s">
        <v>0</v>
      </c>
      <c r="G357" t="s">
        <v>18</v>
      </c>
      <c r="H357" t="s">
        <v>37</v>
      </c>
      <c r="I357">
        <v>4.2300000000000004</v>
      </c>
      <c r="J357">
        <v>0.85</v>
      </c>
      <c r="K357" s="4" t="s">
        <v>45</v>
      </c>
    </row>
    <row r="358" spans="1:11" hidden="1" x14ac:dyDescent="0.2">
      <c r="A358">
        <v>11</v>
      </c>
      <c r="B358">
        <v>1</v>
      </c>
      <c r="D358" t="s">
        <v>7</v>
      </c>
      <c r="E358" s="3" t="s">
        <v>1</v>
      </c>
      <c r="F358" t="s">
        <v>0</v>
      </c>
      <c r="G358" t="s">
        <v>18</v>
      </c>
      <c r="H358" t="s">
        <v>37</v>
      </c>
      <c r="I358">
        <v>3.23</v>
      </c>
      <c r="J358">
        <v>0.86</v>
      </c>
      <c r="K358" s="4" t="s">
        <v>45</v>
      </c>
    </row>
    <row r="359" spans="1:11" hidden="1" x14ac:dyDescent="0.2">
      <c r="A359">
        <v>11</v>
      </c>
      <c r="B359">
        <v>1</v>
      </c>
      <c r="D359" t="s">
        <v>7</v>
      </c>
      <c r="E359" s="3" t="s">
        <v>1</v>
      </c>
      <c r="F359" t="s">
        <v>0</v>
      </c>
      <c r="G359" t="s">
        <v>18</v>
      </c>
      <c r="H359" t="s">
        <v>37</v>
      </c>
      <c r="I359">
        <v>4.24</v>
      </c>
      <c r="J359">
        <v>0.59</v>
      </c>
      <c r="K359" s="4" t="s">
        <v>45</v>
      </c>
    </row>
    <row r="360" spans="1:11" hidden="1" x14ac:dyDescent="0.2">
      <c r="A360">
        <v>11</v>
      </c>
      <c r="B360">
        <v>1</v>
      </c>
      <c r="D360" t="s">
        <v>7</v>
      </c>
      <c r="E360" s="3" t="s">
        <v>1</v>
      </c>
      <c r="F360" t="s">
        <v>0</v>
      </c>
      <c r="G360" t="s">
        <v>18</v>
      </c>
      <c r="H360" t="s">
        <v>37</v>
      </c>
      <c r="I360">
        <v>4.3099999999999996</v>
      </c>
      <c r="J360">
        <v>0.88</v>
      </c>
      <c r="K360" s="4" t="s">
        <v>45</v>
      </c>
    </row>
    <row r="361" spans="1:11" hidden="1" x14ac:dyDescent="0.2">
      <c r="A361">
        <v>11</v>
      </c>
      <c r="B361">
        <v>1</v>
      </c>
      <c r="D361" t="s">
        <v>7</v>
      </c>
      <c r="E361" s="3" t="s">
        <v>1</v>
      </c>
      <c r="F361" t="s">
        <v>0</v>
      </c>
      <c r="G361" t="s">
        <v>18</v>
      </c>
      <c r="H361" t="s">
        <v>37</v>
      </c>
      <c r="I361">
        <v>3.59</v>
      </c>
      <c r="J361">
        <v>0.34</v>
      </c>
      <c r="K361" s="4" t="s">
        <v>45</v>
      </c>
    </row>
    <row r="362" spans="1:11" hidden="1" x14ac:dyDescent="0.2">
      <c r="A362">
        <v>11</v>
      </c>
      <c r="B362">
        <v>1</v>
      </c>
      <c r="D362" t="s">
        <v>7</v>
      </c>
      <c r="E362" s="3" t="s">
        <v>1</v>
      </c>
      <c r="F362" t="s">
        <v>0</v>
      </c>
      <c r="G362" t="s">
        <v>18</v>
      </c>
      <c r="H362" t="s">
        <v>37</v>
      </c>
      <c r="I362">
        <v>4.8899999999999997</v>
      </c>
      <c r="J362">
        <v>1.23</v>
      </c>
      <c r="K362" s="4" t="s">
        <v>45</v>
      </c>
    </row>
    <row r="363" spans="1:11" hidden="1" x14ac:dyDescent="0.2">
      <c r="A363">
        <v>11</v>
      </c>
      <c r="B363">
        <v>1</v>
      </c>
      <c r="D363" t="s">
        <v>7</v>
      </c>
      <c r="E363" s="3" t="s">
        <v>1</v>
      </c>
      <c r="F363" t="s">
        <v>0</v>
      </c>
      <c r="G363" t="s">
        <v>18</v>
      </c>
      <c r="H363" t="s">
        <v>37</v>
      </c>
      <c r="I363">
        <v>6.82</v>
      </c>
      <c r="J363">
        <v>1.9</v>
      </c>
      <c r="K363" s="4" t="s">
        <v>45</v>
      </c>
    </row>
  </sheetData>
  <autoFilter ref="A1:J363" xr:uid="{79F96FEF-A263-0D42-8831-D70A1141F218}">
    <filterColumn colId="6">
      <filters>
        <filter val="Calanus finmarchicus"/>
      </filters>
    </filterColumn>
    <filterColumn colId="7">
      <filters>
        <filter val="CV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816A-CB69-C54A-8D9A-4A838FA3759D}">
  <dimension ref="A1:J186"/>
  <sheetViews>
    <sheetView workbookViewId="0">
      <selection activeCell="P24" sqref="P24"/>
    </sheetView>
  </sheetViews>
  <sheetFormatPr baseColWidth="10" defaultRowHeight="16" x14ac:dyDescent="0.2"/>
  <cols>
    <col min="6" max="6" width="12.1640625" bestFit="1" customWidth="1"/>
    <col min="8" max="8" width="12.1640625" bestFit="1" customWidth="1"/>
    <col min="10" max="10" width="12.1640625" bestFit="1" customWidth="1"/>
  </cols>
  <sheetData>
    <row r="1" spans="1:10" x14ac:dyDescent="0.2">
      <c r="A1">
        <v>2.06</v>
      </c>
      <c r="C1" s="19" t="s">
        <v>68</v>
      </c>
      <c r="D1" s="19"/>
      <c r="E1" s="11" t="s">
        <v>46</v>
      </c>
      <c r="F1" s="14" t="s">
        <v>61</v>
      </c>
      <c r="G1" s="14" t="s">
        <v>62</v>
      </c>
      <c r="H1" s="14" t="s">
        <v>63</v>
      </c>
      <c r="I1" s="9" t="s">
        <v>60</v>
      </c>
      <c r="J1" s="14" t="s">
        <v>64</v>
      </c>
    </row>
    <row r="2" spans="1:10" x14ac:dyDescent="0.2">
      <c r="A2">
        <v>2.27</v>
      </c>
      <c r="C2" s="17" t="s">
        <v>47</v>
      </c>
      <c r="D2" s="17">
        <v>2.2005376344086005</v>
      </c>
      <c r="E2" s="12">
        <v>1.27</v>
      </c>
      <c r="F2">
        <f>_xlfn.NORM.DIST(E2,D$2,D$6,TRUE)</f>
        <v>2.5531347475076789E-7</v>
      </c>
      <c r="G2">
        <f>F2</f>
        <v>2.5531347475076789E-7</v>
      </c>
      <c r="H2">
        <f>G2*D$14</f>
        <v>4.7488306303642826E-5</v>
      </c>
      <c r="I2">
        <v>0</v>
      </c>
      <c r="J2">
        <f t="shared" ref="J2:J14" si="0">(I2-H2)^2/H2</f>
        <v>4.7488306303642826E-5</v>
      </c>
    </row>
    <row r="3" spans="1:10" x14ac:dyDescent="0.2">
      <c r="A3">
        <v>2.31</v>
      </c>
      <c r="C3" s="17" t="s">
        <v>48</v>
      </c>
      <c r="D3" s="17">
        <v>1.3585539259470822E-2</v>
      </c>
      <c r="E3" s="12">
        <v>1.4133333333333333</v>
      </c>
      <c r="F3">
        <f t="shared" ref="F3:F14" si="1">_xlfn.NORM.DIST(E3,D$2,D$6,TRUE)</f>
        <v>1.0751652863896661E-5</v>
      </c>
      <c r="G3">
        <f>F3-F2</f>
        <v>1.0496339389145894E-5</v>
      </c>
      <c r="H3">
        <f t="shared" ref="H3:H14" si="2">G3*D$14</f>
        <v>1.9523191263811363E-3</v>
      </c>
      <c r="I3">
        <v>0</v>
      </c>
      <c r="J3">
        <f t="shared" si="0"/>
        <v>1.9523191263811363E-3</v>
      </c>
    </row>
    <row r="4" spans="1:10" x14ac:dyDescent="0.2">
      <c r="A4">
        <v>2.1</v>
      </c>
      <c r="C4" s="17" t="s">
        <v>49</v>
      </c>
      <c r="D4" s="17">
        <v>2.1950000000000003</v>
      </c>
      <c r="E4" s="12">
        <v>1.5566666666666666</v>
      </c>
      <c r="F4">
        <f t="shared" si="1"/>
        <v>2.5534531485807063E-4</v>
      </c>
      <c r="G4">
        <f t="shared" ref="G4:G14" si="3">F4-F3</f>
        <v>2.4459366199417398E-4</v>
      </c>
      <c r="H4">
        <f t="shared" si="2"/>
        <v>4.5494421130916361E-2</v>
      </c>
      <c r="I4">
        <v>0</v>
      </c>
      <c r="J4">
        <f t="shared" si="0"/>
        <v>4.5494421130916361E-2</v>
      </c>
    </row>
    <row r="5" spans="1:10" x14ac:dyDescent="0.2">
      <c r="A5">
        <v>2.1800000000000002</v>
      </c>
      <c r="C5" s="17" t="s">
        <v>50</v>
      </c>
      <c r="D5" s="17">
        <v>1.96</v>
      </c>
      <c r="E5" s="12">
        <v>1.7000000000000002</v>
      </c>
      <c r="F5">
        <f t="shared" si="1"/>
        <v>3.4514766085090814E-3</v>
      </c>
      <c r="G5">
        <f t="shared" si="3"/>
        <v>3.1961312936510107E-3</v>
      </c>
      <c r="H5">
        <f t="shared" si="2"/>
        <v>0.59448042061908801</v>
      </c>
      <c r="I5">
        <v>0</v>
      </c>
      <c r="J5">
        <f t="shared" si="0"/>
        <v>0.59448042061908801</v>
      </c>
    </row>
    <row r="6" spans="1:10" x14ac:dyDescent="0.2">
      <c r="A6">
        <v>1.96</v>
      </c>
      <c r="C6" s="17" t="s">
        <v>51</v>
      </c>
      <c r="D6" s="17">
        <v>0.18528205287219773</v>
      </c>
      <c r="E6" s="12">
        <v>1.8433333333333333</v>
      </c>
      <c r="F6">
        <f t="shared" si="1"/>
        <v>2.6934108081650688E-2</v>
      </c>
      <c r="G6">
        <f t="shared" si="3"/>
        <v>2.3482631473141606E-2</v>
      </c>
      <c r="H6">
        <f t="shared" si="2"/>
        <v>4.367769454004339</v>
      </c>
      <c r="I6">
        <v>3</v>
      </c>
      <c r="J6">
        <f t="shared" si="0"/>
        <v>0.4283177715783964</v>
      </c>
    </row>
    <row r="7" spans="1:10" x14ac:dyDescent="0.2">
      <c r="A7">
        <v>2.02</v>
      </c>
      <c r="C7" s="17" t="s">
        <v>52</v>
      </c>
      <c r="D7" s="17">
        <v>3.4329439116535874E-2</v>
      </c>
      <c r="E7" s="12">
        <v>1.9866666666666668</v>
      </c>
      <c r="F7">
        <f t="shared" si="1"/>
        <v>0.12418871536956406</v>
      </c>
      <c r="G7">
        <f t="shared" si="3"/>
        <v>9.725460728791338E-2</v>
      </c>
      <c r="H7">
        <f t="shared" si="2"/>
        <v>18.089356955551889</v>
      </c>
      <c r="I7">
        <v>15</v>
      </c>
      <c r="J7">
        <f t="shared" si="0"/>
        <v>0.52761004287040736</v>
      </c>
    </row>
    <row r="8" spans="1:10" x14ac:dyDescent="0.2">
      <c r="A8">
        <v>1.98</v>
      </c>
      <c r="C8" s="17" t="s">
        <v>53</v>
      </c>
      <c r="D8" s="17">
        <v>-0.83034598473339027</v>
      </c>
      <c r="E8" s="12">
        <v>2.13</v>
      </c>
      <c r="F8">
        <f t="shared" si="1"/>
        <v>0.35171141866811445</v>
      </c>
      <c r="G8">
        <f t="shared" si="3"/>
        <v>0.2275227032985504</v>
      </c>
      <c r="H8">
        <f t="shared" si="2"/>
        <v>42.319222813530374</v>
      </c>
      <c r="I8">
        <v>31</v>
      </c>
      <c r="J8">
        <f t="shared" si="0"/>
        <v>3.0275793500957722</v>
      </c>
    </row>
    <row r="9" spans="1:10" x14ac:dyDescent="0.2">
      <c r="A9">
        <v>2.2799999999999998</v>
      </c>
      <c r="C9" s="17" t="s">
        <v>54</v>
      </c>
      <c r="D9" s="17">
        <v>0.10038843258268781</v>
      </c>
      <c r="E9" s="12">
        <v>2.2733333333333334</v>
      </c>
      <c r="F9">
        <f t="shared" si="1"/>
        <v>0.65280010088734763</v>
      </c>
      <c r="G9">
        <f t="shared" si="3"/>
        <v>0.30108868221923318</v>
      </c>
      <c r="H9">
        <f t="shared" si="2"/>
        <v>56.002494892777371</v>
      </c>
      <c r="I9">
        <v>34</v>
      </c>
      <c r="J9">
        <f t="shared" si="0"/>
        <v>8.6444324031201294</v>
      </c>
    </row>
    <row r="10" spans="1:10" x14ac:dyDescent="0.2">
      <c r="A10">
        <v>2.39</v>
      </c>
      <c r="C10" s="17" t="s">
        <v>55</v>
      </c>
      <c r="D10" s="17">
        <v>0.85999999999999988</v>
      </c>
      <c r="E10" s="12">
        <v>2.416666666666667</v>
      </c>
      <c r="F10">
        <f t="shared" si="1"/>
        <v>0.87829111876987931</v>
      </c>
      <c r="G10">
        <f t="shared" si="3"/>
        <v>0.22549101788253167</v>
      </c>
      <c r="H10">
        <f t="shared" si="2"/>
        <v>41.941329326150893</v>
      </c>
      <c r="I10">
        <v>27</v>
      </c>
      <c r="J10">
        <f t="shared" si="0"/>
        <v>5.3227526551787649</v>
      </c>
    </row>
    <row r="11" spans="1:10" x14ac:dyDescent="0.2">
      <c r="A11">
        <v>2.12</v>
      </c>
      <c r="C11" s="17" t="s">
        <v>56</v>
      </c>
      <c r="D11" s="17">
        <v>1.77</v>
      </c>
      <c r="E11" s="12">
        <v>2.56</v>
      </c>
      <c r="F11">
        <f t="shared" si="1"/>
        <v>0.97381513409226561</v>
      </c>
      <c r="G11">
        <f t="shared" si="3"/>
        <v>9.5524015322386302E-2</v>
      </c>
      <c r="H11">
        <f t="shared" si="2"/>
        <v>17.767466849963853</v>
      </c>
      <c r="I11">
        <v>18</v>
      </c>
      <c r="J11">
        <f t="shared" si="0"/>
        <v>3.0432962854152357E-3</v>
      </c>
    </row>
    <row r="12" spans="1:10" x14ac:dyDescent="0.2">
      <c r="A12">
        <v>2.0499999999999998</v>
      </c>
      <c r="C12" s="17" t="s">
        <v>57</v>
      </c>
      <c r="D12" s="17">
        <v>2.63</v>
      </c>
      <c r="E12" s="12">
        <v>2.7033333333333331</v>
      </c>
      <c r="F12">
        <f t="shared" si="1"/>
        <v>0.99667295238446385</v>
      </c>
      <c r="G12">
        <f t="shared" si="3"/>
        <v>2.285781829219824E-2</v>
      </c>
      <c r="H12">
        <f t="shared" si="2"/>
        <v>4.2515542023488724</v>
      </c>
      <c r="I12">
        <v>1</v>
      </c>
      <c r="J12">
        <f t="shared" si="0"/>
        <v>2.4867623056461388</v>
      </c>
    </row>
    <row r="13" spans="1:10" x14ac:dyDescent="0.2">
      <c r="A13">
        <v>1.98</v>
      </c>
      <c r="C13" s="17" t="s">
        <v>58</v>
      </c>
      <c r="D13" s="17">
        <v>409.29999999999967</v>
      </c>
      <c r="E13" s="12">
        <v>2.8466666666666667</v>
      </c>
      <c r="F13">
        <f t="shared" si="1"/>
        <v>0.99975601317900031</v>
      </c>
      <c r="G13">
        <f t="shared" si="3"/>
        <v>3.083060794536463E-3</v>
      </c>
      <c r="H13">
        <f t="shared" si="2"/>
        <v>0.57344930778378211</v>
      </c>
      <c r="I13">
        <v>0</v>
      </c>
      <c r="J13">
        <f t="shared" si="0"/>
        <v>0.57344930778378211</v>
      </c>
    </row>
    <row r="14" spans="1:10" ht="17" thickBot="1" x14ac:dyDescent="0.25">
      <c r="A14">
        <v>1.94</v>
      </c>
      <c r="C14" s="18" t="s">
        <v>59</v>
      </c>
      <c r="D14" s="18">
        <v>186</v>
      </c>
      <c r="E14" s="13">
        <v>3</v>
      </c>
      <c r="F14">
        <f t="shared" si="1"/>
        <v>0.99999201406373517</v>
      </c>
      <c r="G14" s="5">
        <f t="shared" si="3"/>
        <v>2.3600088473485492E-4</v>
      </c>
      <c r="H14">
        <f t="shared" si="2"/>
        <v>4.3896164560683015E-2</v>
      </c>
      <c r="I14">
        <v>0</v>
      </c>
      <c r="J14">
        <f t="shared" si="0"/>
        <v>4.3896164560683015E-2</v>
      </c>
    </row>
    <row r="15" spans="1:10" x14ac:dyDescent="0.2">
      <c r="A15">
        <v>2.2799999999999998</v>
      </c>
    </row>
    <row r="16" spans="1:10" x14ac:dyDescent="0.2">
      <c r="A16">
        <v>2.3199999999999998</v>
      </c>
      <c r="C16" s="10"/>
      <c r="H16" t="s">
        <v>66</v>
      </c>
      <c r="J16">
        <f>SUM(J5:J10)</f>
        <v>18.545172643462557</v>
      </c>
    </row>
    <row r="17" spans="1:10" x14ac:dyDescent="0.2">
      <c r="A17">
        <v>2.33</v>
      </c>
      <c r="H17" t="s">
        <v>67</v>
      </c>
      <c r="J17">
        <f>CHIDIST(J16,142)</f>
        <v>1</v>
      </c>
    </row>
    <row r="18" spans="1:10" x14ac:dyDescent="0.2">
      <c r="A18">
        <v>2.4900000000000002</v>
      </c>
      <c r="J18" t="s">
        <v>65</v>
      </c>
    </row>
    <row r="19" spans="1:10" x14ac:dyDescent="0.2">
      <c r="A19">
        <v>1.99</v>
      </c>
    </row>
    <row r="20" spans="1:10" x14ac:dyDescent="0.2">
      <c r="A20">
        <v>2.13</v>
      </c>
    </row>
    <row r="21" spans="1:10" x14ac:dyDescent="0.2">
      <c r="A21">
        <v>2.0299999999999998</v>
      </c>
    </row>
    <row r="22" spans="1:10" x14ac:dyDescent="0.2">
      <c r="A22">
        <v>1.89</v>
      </c>
    </row>
    <row r="23" spans="1:10" x14ac:dyDescent="0.2">
      <c r="A23">
        <v>2.38</v>
      </c>
    </row>
    <row r="24" spans="1:10" x14ac:dyDescent="0.2">
      <c r="A24">
        <v>2.04</v>
      </c>
    </row>
    <row r="25" spans="1:10" x14ac:dyDescent="0.2">
      <c r="A25">
        <v>1.96</v>
      </c>
    </row>
    <row r="26" spans="1:10" x14ac:dyDescent="0.2">
      <c r="A26">
        <v>2.1800000000000002</v>
      </c>
    </row>
    <row r="27" spans="1:10" x14ac:dyDescent="0.2">
      <c r="A27">
        <v>1.98</v>
      </c>
    </row>
    <row r="28" spans="1:10" x14ac:dyDescent="0.2">
      <c r="A28">
        <v>2.23</v>
      </c>
    </row>
    <row r="29" spans="1:10" x14ac:dyDescent="0.2">
      <c r="A29">
        <v>2.42</v>
      </c>
    </row>
    <row r="30" spans="1:10" x14ac:dyDescent="0.2">
      <c r="A30">
        <v>2.41</v>
      </c>
    </row>
    <row r="31" spans="1:10" x14ac:dyDescent="0.2">
      <c r="A31">
        <v>2.54</v>
      </c>
    </row>
    <row r="32" spans="1:10" x14ac:dyDescent="0.2">
      <c r="A32">
        <v>2.2799999999999998</v>
      </c>
    </row>
    <row r="33" spans="1:1" x14ac:dyDescent="0.2">
      <c r="A33">
        <v>2.5299999999999998</v>
      </c>
    </row>
    <row r="34" spans="1:1" x14ac:dyDescent="0.2">
      <c r="A34">
        <v>2.48</v>
      </c>
    </row>
    <row r="35" spans="1:1" x14ac:dyDescent="0.2">
      <c r="A35">
        <v>2</v>
      </c>
    </row>
    <row r="36" spans="1:1" x14ac:dyDescent="0.2">
      <c r="A36">
        <v>2.0099999999999998</v>
      </c>
    </row>
    <row r="37" spans="1:1" x14ac:dyDescent="0.2">
      <c r="A37">
        <v>2.08</v>
      </c>
    </row>
    <row r="38" spans="1:1" x14ac:dyDescent="0.2">
      <c r="A38">
        <v>2.06</v>
      </c>
    </row>
    <row r="39" spans="1:1" x14ac:dyDescent="0.2">
      <c r="A39">
        <v>1.91</v>
      </c>
    </row>
    <row r="40" spans="1:1" x14ac:dyDescent="0.2">
      <c r="A40">
        <v>2.39</v>
      </c>
    </row>
    <row r="41" spans="1:1" x14ac:dyDescent="0.2">
      <c r="A41">
        <v>2.1800000000000002</v>
      </c>
    </row>
    <row r="42" spans="1:1" x14ac:dyDescent="0.2">
      <c r="A42">
        <v>2.11</v>
      </c>
    </row>
    <row r="43" spans="1:1" x14ac:dyDescent="0.2">
      <c r="A43">
        <v>2.5099999999999998</v>
      </c>
    </row>
    <row r="44" spans="1:1" x14ac:dyDescent="0.2">
      <c r="A44">
        <v>2.63</v>
      </c>
    </row>
    <row r="45" spans="1:1" x14ac:dyDescent="0.2">
      <c r="A45">
        <v>2.31</v>
      </c>
    </row>
    <row r="46" spans="1:1" x14ac:dyDescent="0.2">
      <c r="A46">
        <v>2.31</v>
      </c>
    </row>
    <row r="47" spans="1:1" x14ac:dyDescent="0.2">
      <c r="A47">
        <v>2.0499999999999998</v>
      </c>
    </row>
    <row r="48" spans="1:1" x14ac:dyDescent="0.2">
      <c r="A48">
        <v>2.2599999999999998</v>
      </c>
    </row>
    <row r="49" spans="1:1" x14ac:dyDescent="0.2">
      <c r="A49">
        <v>2.27</v>
      </c>
    </row>
    <row r="50" spans="1:1" x14ac:dyDescent="0.2">
      <c r="A50">
        <v>2.1</v>
      </c>
    </row>
    <row r="51" spans="1:1" x14ac:dyDescent="0.2">
      <c r="A51">
        <v>2.5</v>
      </c>
    </row>
    <row r="52" spans="1:1" x14ac:dyDescent="0.2">
      <c r="A52">
        <v>2.25</v>
      </c>
    </row>
    <row r="53" spans="1:1" x14ac:dyDescent="0.2">
      <c r="A53">
        <v>2.12</v>
      </c>
    </row>
    <row r="54" spans="1:1" x14ac:dyDescent="0.2">
      <c r="A54">
        <v>2.17</v>
      </c>
    </row>
    <row r="55" spans="1:1" x14ac:dyDescent="0.2">
      <c r="A55">
        <v>2.15</v>
      </c>
    </row>
    <row r="56" spans="1:1" x14ac:dyDescent="0.2">
      <c r="A56">
        <v>1.92</v>
      </c>
    </row>
    <row r="57" spans="1:1" x14ac:dyDescent="0.2">
      <c r="A57">
        <v>2.04</v>
      </c>
    </row>
    <row r="58" spans="1:1" x14ac:dyDescent="0.2">
      <c r="A58">
        <v>2.4500000000000002</v>
      </c>
    </row>
    <row r="59" spans="1:1" x14ac:dyDescent="0.2">
      <c r="A59">
        <v>2.0499999999999998</v>
      </c>
    </row>
    <row r="60" spans="1:1" x14ac:dyDescent="0.2">
      <c r="A60">
        <v>1.96</v>
      </c>
    </row>
    <row r="61" spans="1:1" x14ac:dyDescent="0.2">
      <c r="A61">
        <v>2.52</v>
      </c>
    </row>
    <row r="62" spans="1:1" x14ac:dyDescent="0.2">
      <c r="A62">
        <v>2.11</v>
      </c>
    </row>
    <row r="63" spans="1:1" x14ac:dyDescent="0.2">
      <c r="A63">
        <v>2.2000000000000002</v>
      </c>
    </row>
    <row r="64" spans="1:1" x14ac:dyDescent="0.2">
      <c r="A64">
        <v>2.27</v>
      </c>
    </row>
    <row r="65" spans="1:1" x14ac:dyDescent="0.2">
      <c r="A65">
        <v>2.11</v>
      </c>
    </row>
    <row r="66" spans="1:1" x14ac:dyDescent="0.2">
      <c r="A66">
        <v>2.4500000000000002</v>
      </c>
    </row>
    <row r="67" spans="1:1" x14ac:dyDescent="0.2">
      <c r="A67">
        <v>2.2599999999999998</v>
      </c>
    </row>
    <row r="68" spans="1:1" x14ac:dyDescent="0.2">
      <c r="A68">
        <v>2.4700000000000002</v>
      </c>
    </row>
    <row r="69" spans="1:1" x14ac:dyDescent="0.2">
      <c r="A69">
        <v>2.52</v>
      </c>
    </row>
    <row r="70" spans="1:1" x14ac:dyDescent="0.2">
      <c r="A70">
        <v>2.2200000000000002</v>
      </c>
    </row>
    <row r="71" spans="1:1" x14ac:dyDescent="0.2">
      <c r="A71">
        <v>2.16</v>
      </c>
    </row>
    <row r="72" spans="1:1" x14ac:dyDescent="0.2">
      <c r="A72">
        <v>2.0499999999999998</v>
      </c>
    </row>
    <row r="73" spans="1:1" x14ac:dyDescent="0.2">
      <c r="A73">
        <v>2.04</v>
      </c>
    </row>
    <row r="74" spans="1:1" x14ac:dyDescent="0.2">
      <c r="A74">
        <v>2.15</v>
      </c>
    </row>
    <row r="75" spans="1:1" x14ac:dyDescent="0.2">
      <c r="A75">
        <v>2.2400000000000002</v>
      </c>
    </row>
    <row r="76" spans="1:1" x14ac:dyDescent="0.2">
      <c r="A76">
        <v>2.2200000000000002</v>
      </c>
    </row>
    <row r="77" spans="1:1" x14ac:dyDescent="0.2">
      <c r="A77">
        <v>2.4</v>
      </c>
    </row>
    <row r="78" spans="1:1" x14ac:dyDescent="0.2">
      <c r="A78">
        <v>2.52</v>
      </c>
    </row>
    <row r="79" spans="1:1" x14ac:dyDescent="0.2">
      <c r="A79">
        <v>2.1</v>
      </c>
    </row>
    <row r="80" spans="1:1" x14ac:dyDescent="0.2">
      <c r="A80">
        <v>2.39</v>
      </c>
    </row>
    <row r="81" spans="1:1" x14ac:dyDescent="0.2">
      <c r="A81">
        <v>2.46</v>
      </c>
    </row>
    <row r="82" spans="1:1" x14ac:dyDescent="0.2">
      <c r="A82">
        <v>2.46</v>
      </c>
    </row>
    <row r="83" spans="1:1" x14ac:dyDescent="0.2">
      <c r="A83">
        <v>2.33</v>
      </c>
    </row>
    <row r="84" spans="1:1" x14ac:dyDescent="0.2">
      <c r="A84">
        <v>1.97</v>
      </c>
    </row>
    <row r="85" spans="1:1" x14ac:dyDescent="0.2">
      <c r="A85">
        <v>2.16</v>
      </c>
    </row>
    <row r="86" spans="1:1" x14ac:dyDescent="0.2">
      <c r="A86">
        <v>2.52</v>
      </c>
    </row>
    <row r="87" spans="1:1" x14ac:dyDescent="0.2">
      <c r="A87">
        <v>2.06</v>
      </c>
    </row>
    <row r="88" spans="1:1" x14ac:dyDescent="0.2">
      <c r="A88">
        <v>2.29</v>
      </c>
    </row>
    <row r="89" spans="1:1" x14ac:dyDescent="0.2">
      <c r="A89">
        <v>1.93</v>
      </c>
    </row>
    <row r="90" spans="1:1" x14ac:dyDescent="0.2">
      <c r="A90">
        <v>2.44</v>
      </c>
    </row>
    <row r="91" spans="1:1" x14ac:dyDescent="0.2">
      <c r="A91">
        <v>2.2599999999999998</v>
      </c>
    </row>
    <row r="92" spans="1:1" x14ac:dyDescent="0.2">
      <c r="A92">
        <v>2.4300000000000002</v>
      </c>
    </row>
    <row r="93" spans="1:1" x14ac:dyDescent="0.2">
      <c r="A93">
        <v>2.3199999999999998</v>
      </c>
    </row>
    <row r="94" spans="1:1" x14ac:dyDescent="0.2">
      <c r="A94">
        <v>1.98</v>
      </c>
    </row>
    <row r="95" spans="1:1" x14ac:dyDescent="0.2">
      <c r="A95">
        <v>2.41</v>
      </c>
    </row>
    <row r="96" spans="1:1" x14ac:dyDescent="0.2">
      <c r="A96">
        <v>2.38</v>
      </c>
    </row>
    <row r="97" spans="1:1" x14ac:dyDescent="0.2">
      <c r="A97">
        <v>2.37</v>
      </c>
    </row>
    <row r="98" spans="1:1" x14ac:dyDescent="0.2">
      <c r="A98">
        <v>2.4700000000000002</v>
      </c>
    </row>
    <row r="99" spans="1:1" x14ac:dyDescent="0.2">
      <c r="A99">
        <v>2.0699999999999998</v>
      </c>
    </row>
    <row r="100" spans="1:1" x14ac:dyDescent="0.2">
      <c r="A100">
        <v>2.0699999999999998</v>
      </c>
    </row>
    <row r="101" spans="1:1" x14ac:dyDescent="0.2">
      <c r="A101">
        <v>1.92</v>
      </c>
    </row>
    <row r="102" spans="1:1" x14ac:dyDescent="0.2">
      <c r="A102">
        <v>2.0299999999999998</v>
      </c>
    </row>
    <row r="103" spans="1:1" x14ac:dyDescent="0.2">
      <c r="A103">
        <v>2.31</v>
      </c>
    </row>
    <row r="104" spans="1:1" x14ac:dyDescent="0.2">
      <c r="A104">
        <v>1.96</v>
      </c>
    </row>
    <row r="105" spans="1:1" x14ac:dyDescent="0.2">
      <c r="A105">
        <v>2.34</v>
      </c>
    </row>
    <row r="106" spans="1:1" x14ac:dyDescent="0.2">
      <c r="A106">
        <v>2.34</v>
      </c>
    </row>
    <row r="107" spans="1:1" x14ac:dyDescent="0.2">
      <c r="A107">
        <v>2</v>
      </c>
    </row>
    <row r="108" spans="1:1" x14ac:dyDescent="0.2">
      <c r="A108">
        <v>2.34</v>
      </c>
    </row>
    <row r="109" spans="1:1" x14ac:dyDescent="0.2">
      <c r="A109">
        <v>2.19</v>
      </c>
    </row>
    <row r="110" spans="1:1" x14ac:dyDescent="0.2">
      <c r="A110">
        <v>2.06</v>
      </c>
    </row>
    <row r="111" spans="1:1" x14ac:dyDescent="0.2">
      <c r="A111">
        <v>2.19</v>
      </c>
    </row>
    <row r="112" spans="1:1" x14ac:dyDescent="0.2">
      <c r="A112">
        <v>1.96</v>
      </c>
    </row>
    <row r="113" spans="1:1" x14ac:dyDescent="0.2">
      <c r="A113">
        <v>2.16</v>
      </c>
    </row>
    <row r="114" spans="1:1" x14ac:dyDescent="0.2">
      <c r="A114">
        <v>2.4</v>
      </c>
    </row>
    <row r="115" spans="1:1" x14ac:dyDescent="0.2">
      <c r="A115">
        <v>2.23</v>
      </c>
    </row>
    <row r="116" spans="1:1" x14ac:dyDescent="0.2">
      <c r="A116">
        <v>2.37</v>
      </c>
    </row>
    <row r="117" spans="1:1" x14ac:dyDescent="0.2">
      <c r="A117">
        <v>2.1800000000000002</v>
      </c>
    </row>
    <row r="118" spans="1:1" x14ac:dyDescent="0.2">
      <c r="A118">
        <v>2.4300000000000002</v>
      </c>
    </row>
    <row r="119" spans="1:1" x14ac:dyDescent="0.2">
      <c r="A119">
        <v>2.37</v>
      </c>
    </row>
    <row r="120" spans="1:1" x14ac:dyDescent="0.2">
      <c r="A120">
        <v>1.96</v>
      </c>
    </row>
    <row r="121" spans="1:1" x14ac:dyDescent="0.2">
      <c r="A121">
        <v>2.12</v>
      </c>
    </row>
    <row r="122" spans="1:1" x14ac:dyDescent="0.2">
      <c r="A122">
        <v>2</v>
      </c>
    </row>
    <row r="123" spans="1:1" x14ac:dyDescent="0.2">
      <c r="A123">
        <v>2.3199999999999998</v>
      </c>
    </row>
    <row r="124" spans="1:1" x14ac:dyDescent="0.2">
      <c r="A124">
        <v>2.21</v>
      </c>
    </row>
    <row r="125" spans="1:1" x14ac:dyDescent="0.2">
      <c r="A125">
        <v>2.08</v>
      </c>
    </row>
    <row r="126" spans="1:1" x14ac:dyDescent="0.2">
      <c r="A126">
        <v>2.4</v>
      </c>
    </row>
    <row r="127" spans="1:1" x14ac:dyDescent="0.2">
      <c r="A127">
        <v>2.1800000000000002</v>
      </c>
    </row>
    <row r="128" spans="1:1" x14ac:dyDescent="0.2">
      <c r="A128">
        <v>2.15</v>
      </c>
    </row>
    <row r="129" spans="1:1" x14ac:dyDescent="0.2">
      <c r="A129">
        <v>2.06</v>
      </c>
    </row>
    <row r="130" spans="1:1" x14ac:dyDescent="0.2">
      <c r="A130">
        <v>2.3199999999999998</v>
      </c>
    </row>
    <row r="131" spans="1:1" x14ac:dyDescent="0.2">
      <c r="A131">
        <v>1.82</v>
      </c>
    </row>
    <row r="132" spans="1:1" x14ac:dyDescent="0.2">
      <c r="A132">
        <v>2.06</v>
      </c>
    </row>
    <row r="133" spans="1:1" x14ac:dyDescent="0.2">
      <c r="A133">
        <v>2.13</v>
      </c>
    </row>
    <row r="134" spans="1:1" x14ac:dyDescent="0.2">
      <c r="A134">
        <v>2.12</v>
      </c>
    </row>
    <row r="135" spans="1:1" x14ac:dyDescent="0.2">
      <c r="A135">
        <v>2.25</v>
      </c>
    </row>
    <row r="136" spans="1:1" x14ac:dyDescent="0.2">
      <c r="A136">
        <v>2.46</v>
      </c>
    </row>
    <row r="137" spans="1:1" x14ac:dyDescent="0.2">
      <c r="A137">
        <v>2.0499999999999998</v>
      </c>
    </row>
    <row r="138" spans="1:1" x14ac:dyDescent="0.2">
      <c r="A138">
        <v>2.2400000000000002</v>
      </c>
    </row>
    <row r="139" spans="1:1" x14ac:dyDescent="0.2">
      <c r="A139">
        <v>1.96</v>
      </c>
    </row>
    <row r="140" spans="1:1" x14ac:dyDescent="0.2">
      <c r="A140">
        <v>2.31</v>
      </c>
    </row>
    <row r="141" spans="1:1" x14ac:dyDescent="0.2">
      <c r="A141">
        <v>2.52</v>
      </c>
    </row>
    <row r="142" spans="1:1" x14ac:dyDescent="0.2">
      <c r="A142">
        <v>2.0699999999999998</v>
      </c>
    </row>
    <row r="143" spans="1:1" x14ac:dyDescent="0.2">
      <c r="A143">
        <v>1.93</v>
      </c>
    </row>
    <row r="144" spans="1:1" x14ac:dyDescent="0.2">
      <c r="A144">
        <v>2.06</v>
      </c>
    </row>
    <row r="145" spans="1:1" x14ac:dyDescent="0.2">
      <c r="A145">
        <v>2.23</v>
      </c>
    </row>
    <row r="146" spans="1:1" x14ac:dyDescent="0.2">
      <c r="A146">
        <v>2.27</v>
      </c>
    </row>
    <row r="147" spans="1:1" x14ac:dyDescent="0.2">
      <c r="A147">
        <v>2.25</v>
      </c>
    </row>
    <row r="148" spans="1:1" x14ac:dyDescent="0.2">
      <c r="A148">
        <v>2.39</v>
      </c>
    </row>
    <row r="149" spans="1:1" x14ac:dyDescent="0.2">
      <c r="A149">
        <v>2.33</v>
      </c>
    </row>
    <row r="150" spans="1:1" x14ac:dyDescent="0.2">
      <c r="A150">
        <v>2.02</v>
      </c>
    </row>
    <row r="151" spans="1:1" x14ac:dyDescent="0.2">
      <c r="A151">
        <v>1.91</v>
      </c>
    </row>
    <row r="152" spans="1:1" x14ac:dyDescent="0.2">
      <c r="A152">
        <v>2.0099999999999998</v>
      </c>
    </row>
    <row r="153" spans="1:1" x14ac:dyDescent="0.2">
      <c r="A153">
        <v>2.13</v>
      </c>
    </row>
    <row r="154" spans="1:1" x14ac:dyDescent="0.2">
      <c r="A154">
        <v>2.27</v>
      </c>
    </row>
    <row r="155" spans="1:1" x14ac:dyDescent="0.2">
      <c r="A155">
        <v>2.14</v>
      </c>
    </row>
    <row r="156" spans="1:1" x14ac:dyDescent="0.2">
      <c r="A156">
        <v>2.14</v>
      </c>
    </row>
    <row r="157" spans="1:1" x14ac:dyDescent="0.2">
      <c r="A157">
        <v>2.2000000000000002</v>
      </c>
    </row>
    <row r="158" spans="1:1" x14ac:dyDescent="0.2">
      <c r="A158">
        <v>2.29</v>
      </c>
    </row>
    <row r="159" spans="1:1" x14ac:dyDescent="0.2">
      <c r="A159">
        <v>2.5099999999999998</v>
      </c>
    </row>
    <row r="160" spans="1:1" x14ac:dyDescent="0.2">
      <c r="A160">
        <v>2.34</v>
      </c>
    </row>
    <row r="161" spans="1:1" x14ac:dyDescent="0.2">
      <c r="A161" s="6">
        <v>1.78</v>
      </c>
    </row>
    <row r="162" spans="1:1" x14ac:dyDescent="0.2">
      <c r="A162">
        <v>2.02</v>
      </c>
    </row>
    <row r="163" spans="1:1" x14ac:dyDescent="0.2">
      <c r="A163">
        <v>2.2200000000000002</v>
      </c>
    </row>
    <row r="164" spans="1:1" x14ac:dyDescent="0.2">
      <c r="A164">
        <v>1.96</v>
      </c>
    </row>
    <row r="165" spans="1:1" x14ac:dyDescent="0.2">
      <c r="A165">
        <v>2.0699999999999998</v>
      </c>
    </row>
    <row r="166" spans="1:1" x14ac:dyDescent="0.2">
      <c r="A166">
        <v>2.14</v>
      </c>
    </row>
    <row r="167" spans="1:1" x14ac:dyDescent="0.2">
      <c r="A167">
        <v>2.5099999999999998</v>
      </c>
    </row>
    <row r="168" spans="1:1" x14ac:dyDescent="0.2">
      <c r="A168">
        <v>1.96</v>
      </c>
    </row>
    <row r="169" spans="1:1" x14ac:dyDescent="0.2">
      <c r="A169">
        <v>2.25</v>
      </c>
    </row>
    <row r="170" spans="1:1" x14ac:dyDescent="0.2">
      <c r="A170">
        <v>2.0099999999999998</v>
      </c>
    </row>
    <row r="171" spans="1:1" x14ac:dyDescent="0.2">
      <c r="A171">
        <v>2.33</v>
      </c>
    </row>
    <row r="172" spans="1:1" x14ac:dyDescent="0.2">
      <c r="A172">
        <v>2.39</v>
      </c>
    </row>
    <row r="173" spans="1:1" x14ac:dyDescent="0.2">
      <c r="A173">
        <v>2.2599999999999998</v>
      </c>
    </row>
    <row r="174" spans="1:1" x14ac:dyDescent="0.2">
      <c r="A174">
        <v>1.96</v>
      </c>
    </row>
    <row r="175" spans="1:1" x14ac:dyDescent="0.2">
      <c r="A175">
        <v>2.0099999999999998</v>
      </c>
    </row>
    <row r="176" spans="1:1" x14ac:dyDescent="0.2">
      <c r="A176">
        <v>2.0699999999999998</v>
      </c>
    </row>
    <row r="177" spans="1:1" x14ac:dyDescent="0.2">
      <c r="A177">
        <v>2.58</v>
      </c>
    </row>
    <row r="178" spans="1:1" x14ac:dyDescent="0.2">
      <c r="A178">
        <v>2.2599999999999998</v>
      </c>
    </row>
    <row r="179" spans="1:1" x14ac:dyDescent="0.2">
      <c r="A179" s="6">
        <v>1.77</v>
      </c>
    </row>
    <row r="180" spans="1:1" x14ac:dyDescent="0.2">
      <c r="A180">
        <v>2.2000000000000002</v>
      </c>
    </row>
    <row r="181" spans="1:1" x14ac:dyDescent="0.2">
      <c r="A181">
        <v>2.11</v>
      </c>
    </row>
    <row r="182" spans="1:1" x14ac:dyDescent="0.2">
      <c r="A182">
        <v>1.98</v>
      </c>
    </row>
    <row r="183" spans="1:1" x14ac:dyDescent="0.2">
      <c r="A183">
        <v>2.23</v>
      </c>
    </row>
    <row r="184" spans="1:1" x14ac:dyDescent="0.2">
      <c r="A184">
        <v>2.4900000000000002</v>
      </c>
    </row>
    <row r="185" spans="1:1" x14ac:dyDescent="0.2">
      <c r="A185">
        <v>2.33</v>
      </c>
    </row>
    <row r="186" spans="1:1" x14ac:dyDescent="0.2">
      <c r="A186">
        <v>2.3199999999999998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9C333-9CC9-3A4D-AC06-E6F85AB9B45C}">
  <dimension ref="A1:E186"/>
  <sheetViews>
    <sheetView workbookViewId="0">
      <selection activeCell="D1" sqref="D1:E15"/>
    </sheetView>
  </sheetViews>
  <sheetFormatPr baseColWidth="10" defaultRowHeight="16" x14ac:dyDescent="0.2"/>
  <sheetData>
    <row r="1" spans="1:5" x14ac:dyDescent="0.2">
      <c r="A1">
        <v>0.65</v>
      </c>
      <c r="D1" s="19" t="s">
        <v>68</v>
      </c>
      <c r="E1" s="19"/>
    </row>
    <row r="2" spans="1:5" x14ac:dyDescent="0.2">
      <c r="A2">
        <v>0.67</v>
      </c>
      <c r="D2" s="17"/>
      <c r="E2" s="17"/>
    </row>
    <row r="3" spans="1:5" x14ac:dyDescent="0.2">
      <c r="A3">
        <v>0.66</v>
      </c>
      <c r="D3" s="17" t="s">
        <v>47</v>
      </c>
      <c r="E3" s="17">
        <v>0.68295698924731174</v>
      </c>
    </row>
    <row r="4" spans="1:5" x14ac:dyDescent="0.2">
      <c r="A4">
        <v>0.65</v>
      </c>
      <c r="D4" s="17" t="s">
        <v>48</v>
      </c>
      <c r="E4" s="17">
        <v>6.4831027009478927E-3</v>
      </c>
    </row>
    <row r="5" spans="1:5" x14ac:dyDescent="0.2">
      <c r="A5">
        <v>0.71</v>
      </c>
      <c r="D5" s="17" t="s">
        <v>49</v>
      </c>
      <c r="E5" s="17">
        <v>0.67</v>
      </c>
    </row>
    <row r="6" spans="1:5" x14ac:dyDescent="0.2">
      <c r="A6">
        <v>0.62</v>
      </c>
      <c r="D6" s="17" t="s">
        <v>50</v>
      </c>
      <c r="E6" s="17">
        <v>0.63</v>
      </c>
    </row>
    <row r="7" spans="1:5" x14ac:dyDescent="0.2">
      <c r="A7">
        <v>0.61</v>
      </c>
      <c r="D7" s="17" t="s">
        <v>51</v>
      </c>
      <c r="E7" s="17">
        <v>8.8417732595747117E-2</v>
      </c>
    </row>
    <row r="8" spans="1:5" x14ac:dyDescent="0.2">
      <c r="A8">
        <v>0.69</v>
      </c>
      <c r="D8" s="17" t="s">
        <v>52</v>
      </c>
      <c r="E8" s="17">
        <v>7.8176954373730418E-3</v>
      </c>
    </row>
    <row r="9" spans="1:5" x14ac:dyDescent="0.2">
      <c r="A9">
        <v>0.72</v>
      </c>
      <c r="D9" s="17" t="s">
        <v>53</v>
      </c>
      <c r="E9" s="17">
        <v>5.8841666402021264E-2</v>
      </c>
    </row>
    <row r="10" spans="1:5" x14ac:dyDescent="0.2">
      <c r="A10">
        <v>0.79</v>
      </c>
      <c r="D10" s="17" t="s">
        <v>54</v>
      </c>
      <c r="E10" s="17">
        <v>0.40833078377436721</v>
      </c>
    </row>
    <row r="11" spans="1:5" x14ac:dyDescent="0.2">
      <c r="A11">
        <v>0.68</v>
      </c>
      <c r="D11" s="17" t="s">
        <v>55</v>
      </c>
      <c r="E11" s="17">
        <v>0.48000000000000004</v>
      </c>
    </row>
    <row r="12" spans="1:5" x14ac:dyDescent="0.2">
      <c r="A12">
        <v>0.6</v>
      </c>
      <c r="D12" s="17" t="s">
        <v>56</v>
      </c>
      <c r="E12" s="17">
        <v>0.45</v>
      </c>
    </row>
    <row r="13" spans="1:5" x14ac:dyDescent="0.2">
      <c r="A13">
        <v>0.61</v>
      </c>
      <c r="D13" s="17" t="s">
        <v>57</v>
      </c>
      <c r="E13" s="17">
        <v>0.93</v>
      </c>
    </row>
    <row r="14" spans="1:5" x14ac:dyDescent="0.2">
      <c r="A14">
        <v>0.64</v>
      </c>
      <c r="D14" s="17" t="s">
        <v>58</v>
      </c>
      <c r="E14" s="17">
        <v>127.02999999999999</v>
      </c>
    </row>
    <row r="15" spans="1:5" ht="17" thickBot="1" x14ac:dyDescent="0.25">
      <c r="A15">
        <v>0.82</v>
      </c>
      <c r="D15" s="18" t="s">
        <v>59</v>
      </c>
      <c r="E15" s="18">
        <v>186</v>
      </c>
    </row>
    <row r="16" spans="1:5" x14ac:dyDescent="0.2">
      <c r="A16">
        <v>0.75</v>
      </c>
    </row>
    <row r="17" spans="1:1" x14ac:dyDescent="0.2">
      <c r="A17">
        <v>0.73</v>
      </c>
    </row>
    <row r="18" spans="1:1" x14ac:dyDescent="0.2">
      <c r="A18">
        <v>0.76</v>
      </c>
    </row>
    <row r="19" spans="1:1" x14ac:dyDescent="0.2">
      <c r="A19">
        <v>0.56000000000000005</v>
      </c>
    </row>
    <row r="20" spans="1:1" x14ac:dyDescent="0.2">
      <c r="A20">
        <v>0.61</v>
      </c>
    </row>
    <row r="21" spans="1:1" x14ac:dyDescent="0.2">
      <c r="A21">
        <v>0.6</v>
      </c>
    </row>
    <row r="22" spans="1:1" x14ac:dyDescent="0.2">
      <c r="A22">
        <v>0.6</v>
      </c>
    </row>
    <row r="23" spans="1:1" x14ac:dyDescent="0.2">
      <c r="A23">
        <v>0.73</v>
      </c>
    </row>
    <row r="24" spans="1:1" x14ac:dyDescent="0.2">
      <c r="A24">
        <v>0.64</v>
      </c>
    </row>
    <row r="25" spans="1:1" x14ac:dyDescent="0.2">
      <c r="A25">
        <v>0.62</v>
      </c>
    </row>
    <row r="26" spans="1:1" x14ac:dyDescent="0.2">
      <c r="A26">
        <v>0.72</v>
      </c>
    </row>
    <row r="27" spans="1:1" x14ac:dyDescent="0.2">
      <c r="A27">
        <v>0.56000000000000005</v>
      </c>
    </row>
    <row r="28" spans="1:1" x14ac:dyDescent="0.2">
      <c r="A28">
        <v>0.72</v>
      </c>
    </row>
    <row r="29" spans="1:1" x14ac:dyDescent="0.2">
      <c r="A29">
        <v>0.8</v>
      </c>
    </row>
    <row r="30" spans="1:1" x14ac:dyDescent="0.2">
      <c r="A30">
        <v>0.81</v>
      </c>
    </row>
    <row r="31" spans="1:1" x14ac:dyDescent="0.2">
      <c r="A31">
        <v>0.93</v>
      </c>
    </row>
    <row r="32" spans="1:1" x14ac:dyDescent="0.2">
      <c r="A32">
        <v>0.7</v>
      </c>
    </row>
    <row r="33" spans="1:1" x14ac:dyDescent="0.2">
      <c r="A33">
        <v>0.8</v>
      </c>
    </row>
    <row r="34" spans="1:1" x14ac:dyDescent="0.2">
      <c r="A34">
        <v>0.7</v>
      </c>
    </row>
    <row r="35" spans="1:1" x14ac:dyDescent="0.2">
      <c r="A35">
        <v>0.55000000000000004</v>
      </c>
    </row>
    <row r="36" spans="1:1" x14ac:dyDescent="0.2">
      <c r="A36">
        <v>0.56000000000000005</v>
      </c>
    </row>
    <row r="37" spans="1:1" x14ac:dyDescent="0.2">
      <c r="A37">
        <v>0.68</v>
      </c>
    </row>
    <row r="38" spans="1:1" x14ac:dyDescent="0.2">
      <c r="A38">
        <v>0.63</v>
      </c>
    </row>
    <row r="39" spans="1:1" x14ac:dyDescent="0.2">
      <c r="A39">
        <v>0.57999999999999996</v>
      </c>
    </row>
    <row r="40" spans="1:1" x14ac:dyDescent="0.2">
      <c r="A40">
        <v>0.79</v>
      </c>
    </row>
    <row r="41" spans="1:1" x14ac:dyDescent="0.2">
      <c r="A41">
        <v>0.73</v>
      </c>
    </row>
    <row r="42" spans="1:1" x14ac:dyDescent="0.2">
      <c r="A42">
        <v>0.65</v>
      </c>
    </row>
    <row r="43" spans="1:1" x14ac:dyDescent="0.2">
      <c r="A43">
        <v>0.85</v>
      </c>
    </row>
    <row r="44" spans="1:1" x14ac:dyDescent="0.2">
      <c r="A44">
        <v>0.93</v>
      </c>
    </row>
    <row r="45" spans="1:1" x14ac:dyDescent="0.2">
      <c r="A45">
        <v>0.81</v>
      </c>
    </row>
    <row r="46" spans="1:1" x14ac:dyDescent="0.2">
      <c r="A46">
        <v>0.73</v>
      </c>
    </row>
    <row r="47" spans="1:1" x14ac:dyDescent="0.2">
      <c r="A47">
        <v>0.65</v>
      </c>
    </row>
    <row r="48" spans="1:1" x14ac:dyDescent="0.2">
      <c r="A48">
        <v>0.71</v>
      </c>
    </row>
    <row r="49" spans="1:1" x14ac:dyDescent="0.2">
      <c r="A49">
        <v>0.78</v>
      </c>
    </row>
    <row r="50" spans="1:1" x14ac:dyDescent="0.2">
      <c r="A50">
        <v>0.69</v>
      </c>
    </row>
    <row r="51" spans="1:1" x14ac:dyDescent="0.2">
      <c r="A51">
        <v>0.83</v>
      </c>
    </row>
    <row r="52" spans="1:1" x14ac:dyDescent="0.2">
      <c r="A52">
        <v>0.67</v>
      </c>
    </row>
    <row r="53" spans="1:1" x14ac:dyDescent="0.2">
      <c r="A53">
        <v>0.65</v>
      </c>
    </row>
    <row r="54" spans="1:1" x14ac:dyDescent="0.2">
      <c r="A54">
        <v>0.73</v>
      </c>
    </row>
    <row r="55" spans="1:1" x14ac:dyDescent="0.2">
      <c r="A55">
        <v>0.6</v>
      </c>
    </row>
    <row r="56" spans="1:1" x14ac:dyDescent="0.2">
      <c r="A56">
        <v>0.64</v>
      </c>
    </row>
    <row r="57" spans="1:1" x14ac:dyDescent="0.2">
      <c r="A57">
        <v>0.61</v>
      </c>
    </row>
    <row r="58" spans="1:1" x14ac:dyDescent="0.2">
      <c r="A58">
        <v>0.86</v>
      </c>
    </row>
    <row r="59" spans="1:1" x14ac:dyDescent="0.2">
      <c r="A59">
        <v>0.67</v>
      </c>
    </row>
    <row r="60" spans="1:1" x14ac:dyDescent="0.2">
      <c r="A60">
        <v>0.63</v>
      </c>
    </row>
    <row r="61" spans="1:1" x14ac:dyDescent="0.2">
      <c r="A61">
        <v>0.89</v>
      </c>
    </row>
    <row r="62" spans="1:1" x14ac:dyDescent="0.2">
      <c r="A62">
        <v>0.56000000000000005</v>
      </c>
    </row>
    <row r="63" spans="1:1" x14ac:dyDescent="0.2">
      <c r="A63">
        <v>0.63</v>
      </c>
    </row>
    <row r="64" spans="1:1" x14ac:dyDescent="0.2">
      <c r="A64">
        <v>0.74</v>
      </c>
    </row>
    <row r="65" spans="1:1" x14ac:dyDescent="0.2">
      <c r="A65">
        <v>0.63</v>
      </c>
    </row>
    <row r="66" spans="1:1" x14ac:dyDescent="0.2">
      <c r="A66">
        <v>0.75</v>
      </c>
    </row>
    <row r="67" spans="1:1" x14ac:dyDescent="0.2">
      <c r="A67">
        <v>0.7</v>
      </c>
    </row>
    <row r="68" spans="1:1" x14ac:dyDescent="0.2">
      <c r="A68">
        <v>0.81</v>
      </c>
    </row>
    <row r="69" spans="1:1" x14ac:dyDescent="0.2">
      <c r="A69">
        <v>0.77</v>
      </c>
    </row>
    <row r="70" spans="1:1" x14ac:dyDescent="0.2">
      <c r="A70">
        <v>0.71</v>
      </c>
    </row>
    <row r="71" spans="1:1" x14ac:dyDescent="0.2">
      <c r="A71">
        <v>0.68</v>
      </c>
    </row>
    <row r="72" spans="1:1" x14ac:dyDescent="0.2">
      <c r="A72">
        <v>0.66</v>
      </c>
    </row>
    <row r="73" spans="1:1" x14ac:dyDescent="0.2">
      <c r="A73">
        <v>0.7</v>
      </c>
    </row>
    <row r="74" spans="1:1" x14ac:dyDescent="0.2">
      <c r="A74">
        <v>0.57999999999999996</v>
      </c>
    </row>
    <row r="75" spans="1:1" x14ac:dyDescent="0.2">
      <c r="A75">
        <v>0.69</v>
      </c>
    </row>
    <row r="76" spans="1:1" x14ac:dyDescent="0.2">
      <c r="A76">
        <v>0.6</v>
      </c>
    </row>
    <row r="77" spans="1:1" x14ac:dyDescent="0.2">
      <c r="A77">
        <v>0.64</v>
      </c>
    </row>
    <row r="78" spans="1:1" x14ac:dyDescent="0.2">
      <c r="A78">
        <v>0.81</v>
      </c>
    </row>
    <row r="79" spans="1:1" x14ac:dyDescent="0.2">
      <c r="A79">
        <v>0.71</v>
      </c>
    </row>
    <row r="80" spans="1:1" x14ac:dyDescent="0.2">
      <c r="A80">
        <v>0.75</v>
      </c>
    </row>
    <row r="81" spans="1:1" x14ac:dyDescent="0.2">
      <c r="A81">
        <v>0.78</v>
      </c>
    </row>
    <row r="82" spans="1:1" x14ac:dyDescent="0.2">
      <c r="A82">
        <v>0.91</v>
      </c>
    </row>
    <row r="83" spans="1:1" x14ac:dyDescent="0.2">
      <c r="A83">
        <v>0.63</v>
      </c>
    </row>
    <row r="84" spans="1:1" x14ac:dyDescent="0.2">
      <c r="A84">
        <v>0.56999999999999995</v>
      </c>
    </row>
    <row r="85" spans="1:1" x14ac:dyDescent="0.2">
      <c r="A85">
        <v>0.6</v>
      </c>
    </row>
    <row r="86" spans="1:1" x14ac:dyDescent="0.2">
      <c r="A86">
        <v>0.9</v>
      </c>
    </row>
    <row r="87" spans="1:1" x14ac:dyDescent="0.2">
      <c r="A87">
        <v>0.53</v>
      </c>
    </row>
    <row r="88" spans="1:1" x14ac:dyDescent="0.2">
      <c r="A88">
        <v>0.64</v>
      </c>
    </row>
    <row r="89" spans="1:1" x14ac:dyDescent="0.2">
      <c r="A89">
        <v>0.59</v>
      </c>
    </row>
    <row r="90" spans="1:1" x14ac:dyDescent="0.2">
      <c r="A90">
        <v>0.67</v>
      </c>
    </row>
    <row r="91" spans="1:1" x14ac:dyDescent="0.2">
      <c r="A91">
        <v>0.72</v>
      </c>
    </row>
    <row r="92" spans="1:1" x14ac:dyDescent="0.2">
      <c r="A92">
        <v>0.78</v>
      </c>
    </row>
    <row r="93" spans="1:1" x14ac:dyDescent="0.2">
      <c r="A93">
        <v>0.83</v>
      </c>
    </row>
    <row r="94" spans="1:1" x14ac:dyDescent="0.2">
      <c r="A94">
        <v>0.54</v>
      </c>
    </row>
    <row r="95" spans="1:1" x14ac:dyDescent="0.2">
      <c r="A95">
        <v>0.81</v>
      </c>
    </row>
    <row r="96" spans="1:1" x14ac:dyDescent="0.2">
      <c r="A96">
        <v>0.73</v>
      </c>
    </row>
    <row r="97" spans="1:1" x14ac:dyDescent="0.2">
      <c r="A97">
        <v>0.73</v>
      </c>
    </row>
    <row r="98" spans="1:1" x14ac:dyDescent="0.2">
      <c r="A98">
        <v>0.85</v>
      </c>
    </row>
    <row r="99" spans="1:1" x14ac:dyDescent="0.2">
      <c r="A99">
        <v>0.69</v>
      </c>
    </row>
    <row r="100" spans="1:1" x14ac:dyDescent="0.2">
      <c r="A100">
        <v>0.63</v>
      </c>
    </row>
    <row r="101" spans="1:1" x14ac:dyDescent="0.2">
      <c r="A101">
        <v>0.57999999999999996</v>
      </c>
    </row>
    <row r="102" spans="1:1" x14ac:dyDescent="0.2">
      <c r="A102">
        <v>0.6</v>
      </c>
    </row>
    <row r="103" spans="1:1" x14ac:dyDescent="0.2">
      <c r="A103">
        <v>0.7</v>
      </c>
    </row>
    <row r="104" spans="1:1" x14ac:dyDescent="0.2">
      <c r="A104">
        <v>0.55000000000000004</v>
      </c>
    </row>
    <row r="105" spans="1:1" x14ac:dyDescent="0.2">
      <c r="A105">
        <v>0.73</v>
      </c>
    </row>
    <row r="106" spans="1:1" x14ac:dyDescent="0.2">
      <c r="A106">
        <v>0.71</v>
      </c>
    </row>
    <row r="107" spans="1:1" x14ac:dyDescent="0.2">
      <c r="A107">
        <v>0.57999999999999996</v>
      </c>
    </row>
    <row r="108" spans="1:1" x14ac:dyDescent="0.2">
      <c r="A108">
        <v>0.68</v>
      </c>
    </row>
    <row r="109" spans="1:1" x14ac:dyDescent="0.2">
      <c r="A109">
        <v>0.64</v>
      </c>
    </row>
    <row r="110" spans="1:1" x14ac:dyDescent="0.2">
      <c r="A110">
        <v>0.6</v>
      </c>
    </row>
    <row r="111" spans="1:1" x14ac:dyDescent="0.2">
      <c r="A111">
        <v>0.63</v>
      </c>
    </row>
    <row r="112" spans="1:1" x14ac:dyDescent="0.2">
      <c r="A112">
        <v>0.67</v>
      </c>
    </row>
    <row r="113" spans="1:1" x14ac:dyDescent="0.2">
      <c r="A113">
        <v>0.66</v>
      </c>
    </row>
    <row r="114" spans="1:1" x14ac:dyDescent="0.2">
      <c r="A114">
        <v>0.74</v>
      </c>
    </row>
    <row r="115" spans="1:1" x14ac:dyDescent="0.2">
      <c r="A115">
        <v>0.66</v>
      </c>
    </row>
    <row r="116" spans="1:1" x14ac:dyDescent="0.2">
      <c r="A116">
        <v>0.7</v>
      </c>
    </row>
    <row r="117" spans="1:1" x14ac:dyDescent="0.2">
      <c r="A117">
        <v>0.69</v>
      </c>
    </row>
    <row r="118" spans="1:1" x14ac:dyDescent="0.2">
      <c r="A118">
        <v>0.79</v>
      </c>
    </row>
    <row r="119" spans="1:1" x14ac:dyDescent="0.2">
      <c r="A119">
        <v>0.76</v>
      </c>
    </row>
    <row r="120" spans="1:1" x14ac:dyDescent="0.2">
      <c r="A120">
        <v>0.55000000000000004</v>
      </c>
    </row>
    <row r="121" spans="1:1" x14ac:dyDescent="0.2">
      <c r="A121">
        <v>0.6</v>
      </c>
    </row>
    <row r="122" spans="1:1" x14ac:dyDescent="0.2">
      <c r="A122">
        <v>0.61</v>
      </c>
    </row>
    <row r="123" spans="1:1" x14ac:dyDescent="0.2">
      <c r="A123">
        <v>0.71</v>
      </c>
    </row>
    <row r="124" spans="1:1" x14ac:dyDescent="0.2">
      <c r="A124">
        <v>0.73</v>
      </c>
    </row>
    <row r="125" spans="1:1" x14ac:dyDescent="0.2">
      <c r="A125">
        <v>0.59</v>
      </c>
    </row>
    <row r="126" spans="1:1" x14ac:dyDescent="0.2">
      <c r="A126">
        <v>0.66</v>
      </c>
    </row>
    <row r="127" spans="1:1" x14ac:dyDescent="0.2">
      <c r="A127">
        <v>0.67</v>
      </c>
    </row>
    <row r="128" spans="1:1" x14ac:dyDescent="0.2">
      <c r="A128">
        <v>0.65</v>
      </c>
    </row>
    <row r="129" spans="1:1" x14ac:dyDescent="0.2">
      <c r="A129">
        <v>0.68</v>
      </c>
    </row>
    <row r="130" spans="1:1" x14ac:dyDescent="0.2">
      <c r="A130">
        <v>0.73</v>
      </c>
    </row>
    <row r="131" spans="1:1" x14ac:dyDescent="0.2">
      <c r="A131">
        <v>0.56999999999999995</v>
      </c>
    </row>
    <row r="132" spans="1:1" x14ac:dyDescent="0.2">
      <c r="A132">
        <v>0.61</v>
      </c>
    </row>
    <row r="133" spans="1:1" x14ac:dyDescent="0.2">
      <c r="A133">
        <v>0.65</v>
      </c>
    </row>
    <row r="134" spans="1:1" x14ac:dyDescent="0.2">
      <c r="A134">
        <v>0.66</v>
      </c>
    </row>
    <row r="135" spans="1:1" x14ac:dyDescent="0.2">
      <c r="A135">
        <v>0.77</v>
      </c>
    </row>
    <row r="136" spans="1:1" x14ac:dyDescent="0.2">
      <c r="A136">
        <v>0.72</v>
      </c>
    </row>
    <row r="137" spans="1:1" x14ac:dyDescent="0.2">
      <c r="A137">
        <v>0.46</v>
      </c>
    </row>
    <row r="138" spans="1:1" x14ac:dyDescent="0.2">
      <c r="A138">
        <v>0.67</v>
      </c>
    </row>
    <row r="139" spans="1:1" x14ac:dyDescent="0.2">
      <c r="A139">
        <v>0.59</v>
      </c>
    </row>
    <row r="140" spans="1:1" x14ac:dyDescent="0.2">
      <c r="A140">
        <v>0.74</v>
      </c>
    </row>
    <row r="141" spans="1:1" x14ac:dyDescent="0.2">
      <c r="A141">
        <v>0.83</v>
      </c>
    </row>
    <row r="142" spans="1:1" x14ac:dyDescent="0.2">
      <c r="A142">
        <v>0.62</v>
      </c>
    </row>
    <row r="143" spans="1:1" x14ac:dyDescent="0.2">
      <c r="A143">
        <v>0.57999999999999996</v>
      </c>
    </row>
    <row r="144" spans="1:1" x14ac:dyDescent="0.2">
      <c r="A144">
        <v>0.63</v>
      </c>
    </row>
    <row r="145" spans="1:1" x14ac:dyDescent="0.2">
      <c r="A145">
        <v>0.66</v>
      </c>
    </row>
    <row r="146" spans="1:1" x14ac:dyDescent="0.2">
      <c r="A146">
        <v>0.7</v>
      </c>
    </row>
    <row r="147" spans="1:1" x14ac:dyDescent="0.2">
      <c r="A147">
        <v>0.69</v>
      </c>
    </row>
    <row r="148" spans="1:1" x14ac:dyDescent="0.2">
      <c r="A148">
        <v>0.72</v>
      </c>
    </row>
    <row r="149" spans="1:1" x14ac:dyDescent="0.2">
      <c r="A149">
        <v>0.64</v>
      </c>
    </row>
    <row r="150" spans="1:1" x14ac:dyDescent="0.2">
      <c r="A150">
        <v>0.61</v>
      </c>
    </row>
    <row r="151" spans="1:1" x14ac:dyDescent="0.2">
      <c r="A151">
        <v>0.57999999999999996</v>
      </c>
    </row>
    <row r="152" spans="1:1" x14ac:dyDescent="0.2">
      <c r="A152">
        <v>0.67</v>
      </c>
    </row>
    <row r="153" spans="1:1" x14ac:dyDescent="0.2">
      <c r="A153">
        <v>0.69</v>
      </c>
    </row>
    <row r="154" spans="1:1" x14ac:dyDescent="0.2">
      <c r="A154">
        <v>0.69</v>
      </c>
    </row>
    <row r="155" spans="1:1" x14ac:dyDescent="0.2">
      <c r="A155">
        <v>0.67</v>
      </c>
    </row>
    <row r="156" spans="1:1" x14ac:dyDescent="0.2">
      <c r="A156">
        <v>0.63</v>
      </c>
    </row>
    <row r="157" spans="1:1" x14ac:dyDescent="0.2">
      <c r="A157">
        <v>0.59</v>
      </c>
    </row>
    <row r="158" spans="1:1" x14ac:dyDescent="0.2">
      <c r="A158">
        <v>0.72</v>
      </c>
    </row>
    <row r="159" spans="1:1" x14ac:dyDescent="0.2">
      <c r="A159">
        <v>0.83</v>
      </c>
    </row>
    <row r="160" spans="1:1" x14ac:dyDescent="0.2">
      <c r="A160">
        <v>0.79</v>
      </c>
    </row>
    <row r="161" spans="1:1" x14ac:dyDescent="0.2">
      <c r="A161" s="6">
        <v>0.62</v>
      </c>
    </row>
    <row r="162" spans="1:1" x14ac:dyDescent="0.2">
      <c r="A162">
        <v>0.63</v>
      </c>
    </row>
    <row r="163" spans="1:1" x14ac:dyDescent="0.2">
      <c r="A163">
        <v>0.61</v>
      </c>
    </row>
    <row r="164" spans="1:1" x14ac:dyDescent="0.2">
      <c r="A164">
        <v>0.68</v>
      </c>
    </row>
    <row r="165" spans="1:1" x14ac:dyDescent="0.2">
      <c r="A165">
        <v>0.59</v>
      </c>
    </row>
    <row r="166" spans="1:1" x14ac:dyDescent="0.2">
      <c r="A166">
        <v>0.61</v>
      </c>
    </row>
    <row r="167" spans="1:1" x14ac:dyDescent="0.2">
      <c r="A167">
        <v>0.79</v>
      </c>
    </row>
    <row r="168" spans="1:1" x14ac:dyDescent="0.2">
      <c r="A168">
        <v>0.71</v>
      </c>
    </row>
    <row r="169" spans="1:1" x14ac:dyDescent="0.2">
      <c r="A169">
        <v>0.77</v>
      </c>
    </row>
    <row r="170" spans="1:1" x14ac:dyDescent="0.2">
      <c r="A170">
        <v>0.56999999999999995</v>
      </c>
    </row>
    <row r="171" spans="1:1" x14ac:dyDescent="0.2">
      <c r="A171">
        <v>0.81</v>
      </c>
    </row>
    <row r="172" spans="1:1" x14ac:dyDescent="0.2">
      <c r="A172">
        <v>0.8</v>
      </c>
    </row>
    <row r="173" spans="1:1" x14ac:dyDescent="0.2">
      <c r="A173">
        <v>0.63</v>
      </c>
    </row>
    <row r="174" spans="1:1" x14ac:dyDescent="0.2">
      <c r="A174">
        <v>0.67</v>
      </c>
    </row>
    <row r="175" spans="1:1" x14ac:dyDescent="0.2">
      <c r="A175">
        <v>0.65</v>
      </c>
    </row>
    <row r="176" spans="1:1" x14ac:dyDescent="0.2">
      <c r="A176">
        <v>0.57999999999999996</v>
      </c>
    </row>
    <row r="177" spans="1:1" x14ac:dyDescent="0.2">
      <c r="A177">
        <v>0.8</v>
      </c>
    </row>
    <row r="178" spans="1:1" x14ac:dyDescent="0.2">
      <c r="A178">
        <v>0.7</v>
      </c>
    </row>
    <row r="179" spans="1:1" x14ac:dyDescent="0.2">
      <c r="A179" s="6">
        <v>0.45</v>
      </c>
    </row>
    <row r="180" spans="1:1" x14ac:dyDescent="0.2">
      <c r="A180">
        <v>0.61</v>
      </c>
    </row>
    <row r="181" spans="1:1" x14ac:dyDescent="0.2">
      <c r="A181">
        <v>0.64</v>
      </c>
    </row>
    <row r="182" spans="1:1" x14ac:dyDescent="0.2">
      <c r="A182">
        <v>0.55000000000000004</v>
      </c>
    </row>
    <row r="183" spans="1:1" x14ac:dyDescent="0.2">
      <c r="A183">
        <v>0.62</v>
      </c>
    </row>
    <row r="184" spans="1:1" x14ac:dyDescent="0.2">
      <c r="A184">
        <v>0.81</v>
      </c>
    </row>
    <row r="185" spans="1:1" x14ac:dyDescent="0.2">
      <c r="A185">
        <v>0.71</v>
      </c>
    </row>
    <row r="186" spans="1:1" x14ac:dyDescent="0.2">
      <c r="A186">
        <v>0.78</v>
      </c>
    </row>
  </sheetData>
  <sortState xmlns:xlrd2="http://schemas.microsoft.com/office/spreadsheetml/2017/richdata2" ref="H1:H12">
    <sortCondition ref="H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D8C09-5C7C-3347-B917-235096467043}">
  <dimension ref="A1:G187"/>
  <sheetViews>
    <sheetView workbookViewId="0">
      <selection activeCell="I6" sqref="I6"/>
    </sheetView>
  </sheetViews>
  <sheetFormatPr baseColWidth="10" defaultRowHeight="16" x14ac:dyDescent="0.2"/>
  <sheetData>
    <row r="1" spans="1:7" x14ac:dyDescent="0.2">
      <c r="A1" s="15" t="s">
        <v>69</v>
      </c>
      <c r="B1" s="15" t="s">
        <v>70</v>
      </c>
      <c r="C1" s="15" t="s">
        <v>71</v>
      </c>
      <c r="F1" s="19" t="s">
        <v>71</v>
      </c>
      <c r="G1" s="19"/>
    </row>
    <row r="2" spans="1:7" x14ac:dyDescent="0.2">
      <c r="A2">
        <v>2.06</v>
      </c>
      <c r="B2">
        <v>0.65</v>
      </c>
      <c r="C2">
        <f>2 * ((A2*B2^2)^(1/3))</f>
        <v>1.9095365413347867</v>
      </c>
      <c r="F2" s="17" t="s">
        <v>47</v>
      </c>
      <c r="G2" s="17">
        <v>2.0323114270886551</v>
      </c>
    </row>
    <row r="3" spans="1:7" x14ac:dyDescent="0.2">
      <c r="A3">
        <v>2.27</v>
      </c>
      <c r="B3">
        <v>0.67</v>
      </c>
      <c r="C3">
        <f t="shared" ref="C3:C4" si="0">2 * ((A3*B3^2)^(1/3))</f>
        <v>2.0125892557150147</v>
      </c>
      <c r="F3" s="17" t="s">
        <v>48</v>
      </c>
      <c r="G3" s="17">
        <v>1.9647053486291859E-2</v>
      </c>
    </row>
    <row r="4" spans="1:7" x14ac:dyDescent="0.2">
      <c r="A4">
        <v>2.31</v>
      </c>
      <c r="B4">
        <v>0.66</v>
      </c>
      <c r="C4">
        <f t="shared" si="0"/>
        <v>2.0041487214379372</v>
      </c>
      <c r="F4" s="17" t="s">
        <v>49</v>
      </c>
      <c r="G4" s="17">
        <v>1.9998733253102641</v>
      </c>
    </row>
    <row r="5" spans="1:7" x14ac:dyDescent="0.2">
      <c r="A5">
        <v>2.1</v>
      </c>
      <c r="B5">
        <v>0.65</v>
      </c>
      <c r="C5">
        <f t="shared" ref="C5:C66" si="1">2 * (A5*B5^2)^(1/3)</f>
        <v>1.9218168565924878</v>
      </c>
      <c r="F5" s="17" t="s">
        <v>50</v>
      </c>
      <c r="G5" s="17">
        <v>1.8198816491087833</v>
      </c>
    </row>
    <row r="6" spans="1:7" x14ac:dyDescent="0.2">
      <c r="A6">
        <v>2.1800000000000002</v>
      </c>
      <c r="B6">
        <v>0.71</v>
      </c>
      <c r="C6">
        <f t="shared" si="1"/>
        <v>2.0638956039580187</v>
      </c>
      <c r="F6" s="17" t="s">
        <v>51</v>
      </c>
      <c r="G6" s="17">
        <v>0.22314763202737439</v>
      </c>
    </row>
    <row r="7" spans="1:7" x14ac:dyDescent="0.2">
      <c r="A7">
        <v>1.96</v>
      </c>
      <c r="B7">
        <v>0.62</v>
      </c>
      <c r="C7">
        <f t="shared" si="1"/>
        <v>1.8198816491087833</v>
      </c>
      <c r="F7" s="17" t="s">
        <v>52</v>
      </c>
      <c r="G7" s="17">
        <v>4.9794865679424483E-2</v>
      </c>
    </row>
    <row r="8" spans="1:7" x14ac:dyDescent="0.2">
      <c r="A8">
        <v>2.02</v>
      </c>
      <c r="B8">
        <v>0.61</v>
      </c>
      <c r="C8">
        <f t="shared" si="1"/>
        <v>1.8184457204815925</v>
      </c>
      <c r="F8" s="17" t="s">
        <v>53</v>
      </c>
      <c r="G8" s="17">
        <v>-0.3280148595542598</v>
      </c>
    </row>
    <row r="9" spans="1:7" x14ac:dyDescent="0.2">
      <c r="A9">
        <v>1.98</v>
      </c>
      <c r="B9">
        <v>0.69</v>
      </c>
      <c r="C9">
        <f t="shared" si="1"/>
        <v>1.9610309722537398</v>
      </c>
      <c r="F9" s="17" t="s">
        <v>54</v>
      </c>
      <c r="G9" s="17">
        <v>0.49649837106211892</v>
      </c>
    </row>
    <row r="10" spans="1:7" x14ac:dyDescent="0.2">
      <c r="A10">
        <v>2.2799999999999998</v>
      </c>
      <c r="B10">
        <v>0.72</v>
      </c>
      <c r="C10">
        <f t="shared" si="1"/>
        <v>2.1146083475784807</v>
      </c>
      <c r="F10" s="17" t="s">
        <v>55</v>
      </c>
      <c r="G10" s="17">
        <v>0.96490807262779055</v>
      </c>
    </row>
    <row r="11" spans="1:7" x14ac:dyDescent="0.2">
      <c r="A11">
        <v>2.39</v>
      </c>
      <c r="B11">
        <v>0.79</v>
      </c>
      <c r="C11">
        <f t="shared" si="1"/>
        <v>2.2851463722995735</v>
      </c>
      <c r="F11" s="17" t="s">
        <v>56</v>
      </c>
      <c r="G11" s="17">
        <v>1.665383403305787</v>
      </c>
    </row>
    <row r="12" spans="1:7" x14ac:dyDescent="0.2">
      <c r="A12">
        <v>2.12</v>
      </c>
      <c r="B12">
        <v>0.68</v>
      </c>
      <c r="C12">
        <f t="shared" si="1"/>
        <v>1.9867713611378111</v>
      </c>
      <c r="F12" s="17" t="s">
        <v>57</v>
      </c>
      <c r="G12" s="17">
        <v>2.6302914759335776</v>
      </c>
    </row>
    <row r="13" spans="1:7" x14ac:dyDescent="0.2">
      <c r="A13">
        <v>2.0499999999999998</v>
      </c>
      <c r="B13">
        <v>0.6</v>
      </c>
      <c r="C13">
        <f t="shared" si="1"/>
        <v>1.807377131619158</v>
      </c>
      <c r="F13" s="17" t="s">
        <v>58</v>
      </c>
      <c r="G13" s="17">
        <v>262.16817409443649</v>
      </c>
    </row>
    <row r="14" spans="1:7" ht="17" thickBot="1" x14ac:dyDescent="0.25">
      <c r="A14">
        <v>1.98</v>
      </c>
      <c r="B14">
        <v>0.61</v>
      </c>
      <c r="C14">
        <f t="shared" si="1"/>
        <v>1.8063626678282356</v>
      </c>
      <c r="F14" s="18" t="s">
        <v>59</v>
      </c>
      <c r="G14" s="18">
        <v>129</v>
      </c>
    </row>
    <row r="15" spans="1:7" x14ac:dyDescent="0.2">
      <c r="A15">
        <v>1.94</v>
      </c>
      <c r="B15">
        <v>0.64</v>
      </c>
      <c r="C15">
        <f t="shared" si="1"/>
        <v>1.8524673190599694</v>
      </c>
    </row>
    <row r="16" spans="1:7" x14ac:dyDescent="0.2">
      <c r="A16">
        <v>2.2799999999999998</v>
      </c>
      <c r="B16">
        <v>0.82</v>
      </c>
      <c r="C16">
        <f t="shared" si="1"/>
        <v>2.306132092737514</v>
      </c>
    </row>
    <row r="17" spans="1:3" x14ac:dyDescent="0.2">
      <c r="A17">
        <v>2.3199999999999998</v>
      </c>
      <c r="B17">
        <v>0.75</v>
      </c>
      <c r="C17">
        <f t="shared" si="1"/>
        <v>2.1855806293108309</v>
      </c>
    </row>
    <row r="18" spans="1:3" x14ac:dyDescent="0.2">
      <c r="A18">
        <v>2.33</v>
      </c>
      <c r="B18">
        <v>0.73</v>
      </c>
      <c r="C18">
        <f t="shared" si="1"/>
        <v>2.1496308001341435</v>
      </c>
    </row>
    <row r="19" spans="1:3" x14ac:dyDescent="0.2">
      <c r="A19">
        <v>2.4900000000000002</v>
      </c>
      <c r="B19">
        <v>0.76</v>
      </c>
      <c r="C19">
        <f t="shared" si="1"/>
        <v>2.2575575984587846</v>
      </c>
    </row>
    <row r="20" spans="1:3" x14ac:dyDescent="0.2">
      <c r="A20">
        <v>1.99</v>
      </c>
      <c r="B20">
        <v>0.56000000000000005</v>
      </c>
      <c r="C20">
        <f t="shared" si="1"/>
        <v>1.7091219002021236</v>
      </c>
    </row>
    <row r="21" spans="1:3" x14ac:dyDescent="0.2">
      <c r="A21">
        <v>2.13</v>
      </c>
      <c r="B21">
        <v>0.61</v>
      </c>
      <c r="C21">
        <f t="shared" si="1"/>
        <v>1.8508721478231775</v>
      </c>
    </row>
    <row r="22" spans="1:3" x14ac:dyDescent="0.2">
      <c r="A22">
        <v>2.0299999999999998</v>
      </c>
      <c r="B22">
        <v>0.6</v>
      </c>
      <c r="C22">
        <f t="shared" si="1"/>
        <v>1.8014802638250123</v>
      </c>
    </row>
    <row r="23" spans="1:3" x14ac:dyDescent="0.2">
      <c r="A23">
        <v>1.89</v>
      </c>
      <c r="B23">
        <v>0.6</v>
      </c>
      <c r="C23">
        <f t="shared" si="1"/>
        <v>1.7590766506538851</v>
      </c>
    </row>
    <row r="24" spans="1:3" x14ac:dyDescent="0.2">
      <c r="A24">
        <v>2.38</v>
      </c>
      <c r="B24">
        <v>0.73</v>
      </c>
      <c r="C24">
        <f t="shared" si="1"/>
        <v>2.1648985759653847</v>
      </c>
    </row>
    <row r="25" spans="1:3" x14ac:dyDescent="0.2">
      <c r="A25">
        <v>2.04</v>
      </c>
      <c r="B25">
        <v>0.64</v>
      </c>
      <c r="C25">
        <f t="shared" si="1"/>
        <v>1.8837649014026678</v>
      </c>
    </row>
    <row r="26" spans="1:3" x14ac:dyDescent="0.2">
      <c r="A26">
        <v>1.96</v>
      </c>
      <c r="B26">
        <v>0.62</v>
      </c>
      <c r="C26">
        <f t="shared" si="1"/>
        <v>1.8198816491087833</v>
      </c>
    </row>
    <row r="27" spans="1:3" x14ac:dyDescent="0.2">
      <c r="A27">
        <v>2.1800000000000002</v>
      </c>
      <c r="B27">
        <v>0.72</v>
      </c>
      <c r="C27">
        <f t="shared" si="1"/>
        <v>2.0832296965334929</v>
      </c>
    </row>
    <row r="28" spans="1:3" x14ac:dyDescent="0.2">
      <c r="A28">
        <v>1.98</v>
      </c>
      <c r="B28">
        <v>0.56000000000000005</v>
      </c>
      <c r="C28">
        <f t="shared" si="1"/>
        <v>1.7062542406206245</v>
      </c>
    </row>
    <row r="29" spans="1:3" x14ac:dyDescent="0.2">
      <c r="A29">
        <v>2.23</v>
      </c>
      <c r="B29">
        <v>0.72</v>
      </c>
      <c r="C29">
        <f t="shared" si="1"/>
        <v>2.0990362925081336</v>
      </c>
    </row>
    <row r="30" spans="1:3" x14ac:dyDescent="0.2">
      <c r="A30">
        <v>2.42</v>
      </c>
      <c r="B30">
        <v>0.8</v>
      </c>
      <c r="C30">
        <f t="shared" si="1"/>
        <v>2.31399158700978</v>
      </c>
    </row>
    <row r="31" spans="1:3" x14ac:dyDescent="0.2">
      <c r="A31">
        <v>2.41</v>
      </c>
      <c r="B31">
        <v>0.81</v>
      </c>
      <c r="C31">
        <f t="shared" si="1"/>
        <v>2.3300166392249331</v>
      </c>
    </row>
    <row r="32" spans="1:3" x14ac:dyDescent="0.2">
      <c r="A32">
        <v>2.54</v>
      </c>
      <c r="B32">
        <v>0.93</v>
      </c>
      <c r="C32">
        <f t="shared" si="1"/>
        <v>2.5999392490736173</v>
      </c>
    </row>
    <row r="33" spans="1:3" x14ac:dyDescent="0.2">
      <c r="A33">
        <v>2.2799999999999998</v>
      </c>
      <c r="B33">
        <v>0.7</v>
      </c>
      <c r="C33">
        <f t="shared" si="1"/>
        <v>2.0752653650070632</v>
      </c>
    </row>
    <row r="34" spans="1:3" x14ac:dyDescent="0.2">
      <c r="A34">
        <v>2.5299999999999998</v>
      </c>
      <c r="B34">
        <v>0.8</v>
      </c>
      <c r="C34">
        <f t="shared" si="1"/>
        <v>2.3485338674429794</v>
      </c>
    </row>
    <row r="35" spans="1:3" x14ac:dyDescent="0.2">
      <c r="A35">
        <v>2.48</v>
      </c>
      <c r="B35">
        <v>0.7</v>
      </c>
      <c r="C35">
        <f t="shared" si="1"/>
        <v>2.1342530756374689</v>
      </c>
    </row>
    <row r="36" spans="1:3" x14ac:dyDescent="0.2">
      <c r="A36">
        <v>2</v>
      </c>
      <c r="B36">
        <v>0.55000000000000004</v>
      </c>
      <c r="C36">
        <f t="shared" si="1"/>
        <v>1.6915381116229844</v>
      </c>
    </row>
    <row r="37" spans="1:3" x14ac:dyDescent="0.2">
      <c r="A37">
        <v>2.0099999999999998</v>
      </c>
      <c r="B37">
        <v>0.56000000000000005</v>
      </c>
      <c r="C37">
        <f t="shared" si="1"/>
        <v>1.7148285265182375</v>
      </c>
    </row>
    <row r="38" spans="1:3" x14ac:dyDescent="0.2">
      <c r="A38">
        <v>2.08</v>
      </c>
      <c r="B38">
        <v>0.68</v>
      </c>
      <c r="C38">
        <f t="shared" si="1"/>
        <v>1.97419652196552</v>
      </c>
    </row>
    <row r="39" spans="1:3" x14ac:dyDescent="0.2">
      <c r="A39">
        <v>2.06</v>
      </c>
      <c r="B39">
        <v>0.63</v>
      </c>
      <c r="C39">
        <f t="shared" si="1"/>
        <v>1.8701628920034921</v>
      </c>
    </row>
    <row r="40" spans="1:3" x14ac:dyDescent="0.2">
      <c r="A40">
        <v>1.91</v>
      </c>
      <c r="B40">
        <v>0.57999999999999996</v>
      </c>
      <c r="C40">
        <f t="shared" si="1"/>
        <v>1.7258105271698163</v>
      </c>
    </row>
    <row r="41" spans="1:3" x14ac:dyDescent="0.2">
      <c r="A41">
        <v>2.39</v>
      </c>
      <c r="B41">
        <v>0.79</v>
      </c>
      <c r="C41">
        <f t="shared" si="1"/>
        <v>2.2851463722995735</v>
      </c>
    </row>
    <row r="42" spans="1:3" x14ac:dyDescent="0.2">
      <c r="A42">
        <v>2.1800000000000002</v>
      </c>
      <c r="B42">
        <v>0.73</v>
      </c>
      <c r="C42">
        <f t="shared" si="1"/>
        <v>2.1024744829579252</v>
      </c>
    </row>
    <row r="43" spans="1:3" x14ac:dyDescent="0.2">
      <c r="A43">
        <v>2.11</v>
      </c>
      <c r="B43">
        <v>0.65</v>
      </c>
      <c r="C43">
        <f t="shared" si="1"/>
        <v>1.92486253024047</v>
      </c>
    </row>
    <row r="44" spans="1:3" x14ac:dyDescent="0.2">
      <c r="A44">
        <v>2.5099999999999998</v>
      </c>
      <c r="B44">
        <v>0.85</v>
      </c>
      <c r="C44">
        <f t="shared" si="1"/>
        <v>2.4389366503396732</v>
      </c>
    </row>
    <row r="45" spans="1:3" x14ac:dyDescent="0.2">
      <c r="A45">
        <v>2.63</v>
      </c>
      <c r="B45">
        <v>0.93</v>
      </c>
      <c r="C45">
        <f t="shared" si="1"/>
        <v>2.6302914759335776</v>
      </c>
    </row>
    <row r="46" spans="1:3" x14ac:dyDescent="0.2">
      <c r="A46">
        <v>2.31</v>
      </c>
      <c r="B46">
        <v>0.81</v>
      </c>
      <c r="C46">
        <f t="shared" si="1"/>
        <v>2.2973332671621032</v>
      </c>
    </row>
    <row r="47" spans="1:3" x14ac:dyDescent="0.2">
      <c r="A47">
        <v>2.31</v>
      </c>
      <c r="B47">
        <v>0.73</v>
      </c>
      <c r="C47">
        <f t="shared" si="1"/>
        <v>2.1434625286368605</v>
      </c>
    </row>
    <row r="48" spans="1:3" x14ac:dyDescent="0.2">
      <c r="A48">
        <v>2.0499999999999998</v>
      </c>
      <c r="B48">
        <v>0.65</v>
      </c>
      <c r="C48">
        <f t="shared" si="1"/>
        <v>1.9064416630721306</v>
      </c>
    </row>
    <row r="49" spans="1:3" x14ac:dyDescent="0.2">
      <c r="A49">
        <v>2.2599999999999998</v>
      </c>
      <c r="B49">
        <v>0.71</v>
      </c>
      <c r="C49">
        <f t="shared" si="1"/>
        <v>2.0888393546592727</v>
      </c>
    </row>
    <row r="50" spans="1:3" x14ac:dyDescent="0.2">
      <c r="A50">
        <v>2.27</v>
      </c>
      <c r="B50">
        <v>0.78</v>
      </c>
      <c r="C50">
        <f t="shared" si="1"/>
        <v>2.2272468319026824</v>
      </c>
    </row>
    <row r="51" spans="1:3" x14ac:dyDescent="0.2">
      <c r="A51">
        <v>2.1</v>
      </c>
      <c r="B51">
        <v>0.69</v>
      </c>
      <c r="C51">
        <f t="shared" si="1"/>
        <v>1.9998733253102641</v>
      </c>
    </row>
    <row r="52" spans="1:3" x14ac:dyDescent="0.2">
      <c r="A52">
        <v>2.5</v>
      </c>
      <c r="B52">
        <v>0.83</v>
      </c>
      <c r="C52">
        <f t="shared" si="1"/>
        <v>2.3973350048085567</v>
      </c>
    </row>
    <row r="53" spans="1:3" x14ac:dyDescent="0.2">
      <c r="A53">
        <v>2.25</v>
      </c>
      <c r="B53">
        <v>0.67</v>
      </c>
      <c r="C53">
        <f t="shared" si="1"/>
        <v>2.0066611234209017</v>
      </c>
    </row>
    <row r="54" spans="1:3" x14ac:dyDescent="0.2">
      <c r="A54">
        <v>2.12</v>
      </c>
      <c r="B54">
        <v>0.65</v>
      </c>
      <c r="C54">
        <f t="shared" si="1"/>
        <v>1.9278985960452455</v>
      </c>
    </row>
    <row r="55" spans="1:3" x14ac:dyDescent="0.2">
      <c r="A55">
        <v>2.17</v>
      </c>
      <c r="B55">
        <v>0.73</v>
      </c>
      <c r="C55">
        <f t="shared" si="1"/>
        <v>2.0992547620198119</v>
      </c>
    </row>
    <row r="56" spans="1:3" x14ac:dyDescent="0.2">
      <c r="A56">
        <v>2.15</v>
      </c>
      <c r="B56">
        <v>0.6</v>
      </c>
      <c r="C56">
        <f t="shared" si="1"/>
        <v>1.8363000634493294</v>
      </c>
    </row>
    <row r="57" spans="1:3" x14ac:dyDescent="0.2">
      <c r="A57">
        <v>1.92</v>
      </c>
      <c r="B57">
        <v>0.64</v>
      </c>
      <c r="C57">
        <f t="shared" si="1"/>
        <v>1.8460794499934827</v>
      </c>
    </row>
    <row r="58" spans="1:3" x14ac:dyDescent="0.2">
      <c r="A58">
        <v>2.04</v>
      </c>
      <c r="B58">
        <v>0.61</v>
      </c>
      <c r="C58">
        <f t="shared" si="1"/>
        <v>1.8244274929057565</v>
      </c>
    </row>
    <row r="59" spans="1:3" x14ac:dyDescent="0.2">
      <c r="A59">
        <v>2.4500000000000002</v>
      </c>
      <c r="B59">
        <v>0.86</v>
      </c>
      <c r="C59">
        <f t="shared" si="1"/>
        <v>2.4382842008877423</v>
      </c>
    </row>
    <row r="60" spans="1:3" x14ac:dyDescent="0.2">
      <c r="A60">
        <v>2.0499999999999998</v>
      </c>
      <c r="B60">
        <v>0.67</v>
      </c>
      <c r="C60">
        <f t="shared" si="1"/>
        <v>1.9453503068677898</v>
      </c>
    </row>
    <row r="61" spans="1:3" x14ac:dyDescent="0.2">
      <c r="A61">
        <v>1.96</v>
      </c>
      <c r="B61">
        <v>0.63</v>
      </c>
      <c r="C61">
        <f t="shared" si="1"/>
        <v>1.8393980387529136</v>
      </c>
    </row>
    <row r="62" spans="1:3" x14ac:dyDescent="0.2">
      <c r="A62">
        <v>2.52</v>
      </c>
      <c r="B62">
        <v>0.89</v>
      </c>
      <c r="C62">
        <f t="shared" si="1"/>
        <v>2.5181997724679448</v>
      </c>
    </row>
    <row r="63" spans="1:3" x14ac:dyDescent="0.2">
      <c r="A63">
        <v>2.11</v>
      </c>
      <c r="B63">
        <v>0.56000000000000005</v>
      </c>
      <c r="C63">
        <f t="shared" si="1"/>
        <v>1.7428078152430595</v>
      </c>
    </row>
    <row r="64" spans="1:3" x14ac:dyDescent="0.2">
      <c r="A64">
        <v>2.2000000000000002</v>
      </c>
      <c r="B64">
        <v>0.63</v>
      </c>
      <c r="C64">
        <f t="shared" si="1"/>
        <v>1.9116039631876391</v>
      </c>
    </row>
    <row r="65" spans="1:3" x14ac:dyDescent="0.2">
      <c r="A65">
        <v>2.27</v>
      </c>
      <c r="B65">
        <v>0.74</v>
      </c>
      <c r="C65">
        <f t="shared" si="1"/>
        <v>2.150435534625148</v>
      </c>
    </row>
    <row r="66" spans="1:3" x14ac:dyDescent="0.2">
      <c r="A66">
        <v>2.11</v>
      </c>
      <c r="B66">
        <v>0.63</v>
      </c>
      <c r="C66">
        <f t="shared" si="1"/>
        <v>1.8851728669970218</v>
      </c>
    </row>
    <row r="67" spans="1:3" x14ac:dyDescent="0.2">
      <c r="A67">
        <v>2.4500000000000002</v>
      </c>
      <c r="B67">
        <v>0.75</v>
      </c>
      <c r="C67">
        <f t="shared" ref="C67:C130" si="2">2 * (A67*B67^2)^(1/3)</f>
        <v>2.2256636491914854</v>
      </c>
    </row>
    <row r="68" spans="1:3" x14ac:dyDescent="0.2">
      <c r="A68">
        <v>2.2599999999999998</v>
      </c>
      <c r="B68">
        <v>0.7</v>
      </c>
      <c r="C68">
        <f t="shared" si="2"/>
        <v>2.0691795078792117</v>
      </c>
    </row>
    <row r="69" spans="1:3" x14ac:dyDescent="0.2">
      <c r="A69">
        <v>2.4700000000000002</v>
      </c>
      <c r="B69">
        <v>0.81</v>
      </c>
      <c r="C69">
        <f t="shared" si="2"/>
        <v>2.3491945934709966</v>
      </c>
    </row>
    <row r="70" spans="1:3" x14ac:dyDescent="0.2">
      <c r="A70">
        <v>2.52</v>
      </c>
      <c r="B70">
        <v>0.77</v>
      </c>
      <c r="C70">
        <f t="shared" si="2"/>
        <v>2.2864269265989816</v>
      </c>
    </row>
    <row r="71" spans="1:3" x14ac:dyDescent="0.2">
      <c r="A71">
        <v>2.2200000000000002</v>
      </c>
      <c r="B71">
        <v>0.71</v>
      </c>
      <c r="C71">
        <f t="shared" si="2"/>
        <v>2.0764423899709619</v>
      </c>
    </row>
    <row r="72" spans="1:3" x14ac:dyDescent="0.2">
      <c r="A72">
        <v>2.16</v>
      </c>
      <c r="B72">
        <v>0.68</v>
      </c>
      <c r="C72">
        <f t="shared" si="2"/>
        <v>1.9991890045209502</v>
      </c>
    </row>
    <row r="73" spans="1:3" x14ac:dyDescent="0.2">
      <c r="A73">
        <v>2.0499999999999998</v>
      </c>
      <c r="B73">
        <v>0.66</v>
      </c>
      <c r="C73">
        <f t="shared" si="2"/>
        <v>1.9259451141341959</v>
      </c>
    </row>
    <row r="74" spans="1:3" x14ac:dyDescent="0.2">
      <c r="A74">
        <v>2.04</v>
      </c>
      <c r="B74">
        <v>0.7</v>
      </c>
      <c r="C74">
        <f t="shared" si="2"/>
        <v>1.9997332977698743</v>
      </c>
    </row>
    <row r="75" spans="1:3" x14ac:dyDescent="0.2">
      <c r="A75">
        <v>2.15</v>
      </c>
      <c r="B75">
        <v>0.57999999999999996</v>
      </c>
      <c r="C75">
        <f t="shared" si="2"/>
        <v>1.7952632662949566</v>
      </c>
    </row>
    <row r="76" spans="1:3" x14ac:dyDescent="0.2">
      <c r="A76">
        <v>2.2400000000000002</v>
      </c>
      <c r="B76">
        <v>0.69</v>
      </c>
      <c r="C76">
        <f t="shared" si="2"/>
        <v>2.0433623903700213</v>
      </c>
    </row>
    <row r="77" spans="1:3" x14ac:dyDescent="0.2">
      <c r="A77">
        <v>2.2200000000000002</v>
      </c>
      <c r="B77">
        <v>0.6</v>
      </c>
      <c r="C77">
        <f t="shared" si="2"/>
        <v>1.8560164485264425</v>
      </c>
    </row>
    <row r="78" spans="1:3" x14ac:dyDescent="0.2">
      <c r="A78">
        <v>2.4</v>
      </c>
      <c r="B78">
        <v>0.64</v>
      </c>
      <c r="C78">
        <f t="shared" si="2"/>
        <v>1.9886288038104696</v>
      </c>
    </row>
    <row r="79" spans="1:3" x14ac:dyDescent="0.2">
      <c r="A79">
        <v>2.52</v>
      </c>
      <c r="B79">
        <v>0.81</v>
      </c>
      <c r="C79">
        <f t="shared" si="2"/>
        <v>2.3649403355394605</v>
      </c>
    </row>
    <row r="80" spans="1:3" x14ac:dyDescent="0.2">
      <c r="A80">
        <v>2.1</v>
      </c>
      <c r="B80">
        <v>0.71</v>
      </c>
      <c r="C80">
        <f t="shared" si="2"/>
        <v>2.038333895303666</v>
      </c>
    </row>
    <row r="81" spans="1:3" x14ac:dyDescent="0.2">
      <c r="A81">
        <v>2.39</v>
      </c>
      <c r="B81">
        <v>0.75</v>
      </c>
      <c r="C81">
        <f t="shared" si="2"/>
        <v>2.2073445991123206</v>
      </c>
    </row>
    <row r="82" spans="1:3" x14ac:dyDescent="0.2">
      <c r="A82">
        <v>2.46</v>
      </c>
      <c r="B82">
        <v>0.78</v>
      </c>
      <c r="C82">
        <f t="shared" si="2"/>
        <v>2.2877299956865569</v>
      </c>
    </row>
    <row r="83" spans="1:3" x14ac:dyDescent="0.2">
      <c r="A83">
        <v>2.46</v>
      </c>
      <c r="B83">
        <v>0.91</v>
      </c>
      <c r="C83">
        <f t="shared" si="2"/>
        <v>2.5353385478160186</v>
      </c>
    </row>
    <row r="84" spans="1:3" x14ac:dyDescent="0.2">
      <c r="A84">
        <v>2.33</v>
      </c>
      <c r="B84">
        <v>0.63</v>
      </c>
      <c r="C84">
        <f t="shared" si="2"/>
        <v>1.9485385499433927</v>
      </c>
    </row>
    <row r="85" spans="1:3" x14ac:dyDescent="0.2">
      <c r="A85">
        <v>1.97</v>
      </c>
      <c r="B85">
        <v>0.56999999999999995</v>
      </c>
      <c r="C85">
        <f t="shared" si="2"/>
        <v>1.723595327811646</v>
      </c>
    </row>
    <row r="86" spans="1:3" x14ac:dyDescent="0.2">
      <c r="A86">
        <v>2.16</v>
      </c>
      <c r="B86">
        <v>0.6</v>
      </c>
      <c r="C86">
        <f t="shared" si="2"/>
        <v>1.8391426377445275</v>
      </c>
    </row>
    <row r="87" spans="1:3" x14ac:dyDescent="0.2">
      <c r="A87">
        <v>2.52</v>
      </c>
      <c r="B87">
        <v>0.9</v>
      </c>
      <c r="C87">
        <f t="shared" si="2"/>
        <v>2.5370275435433611</v>
      </c>
    </row>
    <row r="88" spans="1:3" x14ac:dyDescent="0.2">
      <c r="A88">
        <v>2.06</v>
      </c>
      <c r="B88">
        <v>0.53</v>
      </c>
      <c r="C88">
        <f t="shared" si="2"/>
        <v>1.6666189497449815</v>
      </c>
    </row>
    <row r="89" spans="1:3" x14ac:dyDescent="0.2">
      <c r="A89">
        <v>2.29</v>
      </c>
      <c r="B89">
        <v>0.64</v>
      </c>
      <c r="C89">
        <f t="shared" si="2"/>
        <v>1.9577706152437186</v>
      </c>
    </row>
    <row r="90" spans="1:3" x14ac:dyDescent="0.2">
      <c r="A90">
        <v>1.93</v>
      </c>
      <c r="B90">
        <v>0.59</v>
      </c>
      <c r="C90">
        <f t="shared" si="2"/>
        <v>1.7516625289134398</v>
      </c>
    </row>
    <row r="91" spans="1:3" x14ac:dyDescent="0.2">
      <c r="A91">
        <v>2.44</v>
      </c>
      <c r="B91">
        <v>0.67</v>
      </c>
      <c r="C91">
        <f t="shared" si="2"/>
        <v>2.0616256373392061</v>
      </c>
    </row>
    <row r="92" spans="1:3" x14ac:dyDescent="0.2">
      <c r="A92">
        <v>2.2599999999999998</v>
      </c>
      <c r="B92">
        <v>0.72</v>
      </c>
      <c r="C92">
        <f t="shared" si="2"/>
        <v>2.1084071144727181</v>
      </c>
    </row>
    <row r="93" spans="1:3" x14ac:dyDescent="0.2">
      <c r="A93">
        <v>2.4300000000000002</v>
      </c>
      <c r="B93">
        <v>0.78</v>
      </c>
      <c r="C93">
        <f t="shared" si="2"/>
        <v>2.2783922183118057</v>
      </c>
    </row>
    <row r="94" spans="1:3" x14ac:dyDescent="0.2">
      <c r="A94">
        <v>2.3199999999999998</v>
      </c>
      <c r="B94">
        <v>0.83</v>
      </c>
      <c r="C94">
        <f t="shared" si="2"/>
        <v>2.3383600655592036</v>
      </c>
    </row>
    <row r="95" spans="1:3" x14ac:dyDescent="0.2">
      <c r="A95">
        <v>1.98</v>
      </c>
      <c r="B95">
        <v>0.54</v>
      </c>
      <c r="C95">
        <f t="shared" si="2"/>
        <v>1.665383403305787</v>
      </c>
    </row>
    <row r="96" spans="1:3" x14ac:dyDescent="0.2">
      <c r="A96">
        <v>2.41</v>
      </c>
      <c r="B96">
        <v>0.81</v>
      </c>
      <c r="C96">
        <f t="shared" si="2"/>
        <v>2.3300166392249331</v>
      </c>
    </row>
    <row r="97" spans="1:3" x14ac:dyDescent="0.2">
      <c r="A97">
        <v>2.38</v>
      </c>
      <c r="B97">
        <v>0.73</v>
      </c>
      <c r="C97">
        <f t="shared" si="2"/>
        <v>2.1648985759653847</v>
      </c>
    </row>
    <row r="98" spans="1:3" x14ac:dyDescent="0.2">
      <c r="A98">
        <v>2.37</v>
      </c>
      <c r="B98">
        <v>0.73</v>
      </c>
      <c r="C98">
        <f t="shared" si="2"/>
        <v>2.161862248592346</v>
      </c>
    </row>
    <row r="99" spans="1:3" x14ac:dyDescent="0.2">
      <c r="A99">
        <v>2.4700000000000002</v>
      </c>
      <c r="B99">
        <v>0.85</v>
      </c>
      <c r="C99">
        <f t="shared" si="2"/>
        <v>2.4259113731743525</v>
      </c>
    </row>
    <row r="100" spans="1:3" x14ac:dyDescent="0.2">
      <c r="A100">
        <v>2.0699999999999998</v>
      </c>
      <c r="B100">
        <v>0.69</v>
      </c>
      <c r="C100">
        <f t="shared" si="2"/>
        <v>1.9903044070242233</v>
      </c>
    </row>
    <row r="101" spans="1:3" x14ac:dyDescent="0.2">
      <c r="A101">
        <v>2.0699999999999998</v>
      </c>
      <c r="B101">
        <v>0.63</v>
      </c>
      <c r="C101">
        <f t="shared" si="2"/>
        <v>1.8731841620249909</v>
      </c>
    </row>
    <row r="102" spans="1:3" x14ac:dyDescent="0.2">
      <c r="A102">
        <v>1.92</v>
      </c>
      <c r="B102">
        <v>0.57999999999999996</v>
      </c>
      <c r="C102">
        <f t="shared" si="2"/>
        <v>1.7288171717972982</v>
      </c>
    </row>
    <row r="103" spans="1:3" x14ac:dyDescent="0.2">
      <c r="A103">
        <v>2.0299999999999998</v>
      </c>
      <c r="B103">
        <v>0.6</v>
      </c>
      <c r="C103">
        <f t="shared" si="2"/>
        <v>1.8014802638250123</v>
      </c>
    </row>
    <row r="104" spans="1:3" x14ac:dyDescent="0.2">
      <c r="A104">
        <v>2.31</v>
      </c>
      <c r="B104">
        <v>0.7</v>
      </c>
      <c r="C104">
        <f t="shared" si="2"/>
        <v>2.0843277741353585</v>
      </c>
    </row>
    <row r="105" spans="1:3" x14ac:dyDescent="0.2">
      <c r="A105">
        <v>1.96</v>
      </c>
      <c r="B105">
        <v>0.55000000000000004</v>
      </c>
      <c r="C105">
        <f t="shared" si="2"/>
        <v>1.6801851647761055</v>
      </c>
    </row>
    <row r="106" spans="1:3" x14ac:dyDescent="0.2">
      <c r="A106">
        <v>2.34</v>
      </c>
      <c r="B106">
        <v>0.73</v>
      </c>
      <c r="C106">
        <f t="shared" si="2"/>
        <v>2.1527017054523174</v>
      </c>
    </row>
    <row r="107" spans="1:3" x14ac:dyDescent="0.2">
      <c r="A107">
        <v>2.34</v>
      </c>
      <c r="B107">
        <v>0.71</v>
      </c>
      <c r="C107">
        <f t="shared" si="2"/>
        <v>2.113201193417233</v>
      </c>
    </row>
    <row r="108" spans="1:3" x14ac:dyDescent="0.2">
      <c r="A108">
        <v>2</v>
      </c>
      <c r="B108">
        <v>0.57999999999999996</v>
      </c>
      <c r="C108">
        <f t="shared" si="2"/>
        <v>1.7525025420478482</v>
      </c>
    </row>
    <row r="109" spans="1:3" x14ac:dyDescent="0.2">
      <c r="A109">
        <v>2.34</v>
      </c>
      <c r="B109">
        <v>0.68</v>
      </c>
      <c r="C109">
        <f t="shared" si="2"/>
        <v>2.0532471244329056</v>
      </c>
    </row>
    <row r="110" spans="1:3" x14ac:dyDescent="0.2">
      <c r="A110">
        <v>2.19</v>
      </c>
      <c r="B110">
        <v>0.64</v>
      </c>
      <c r="C110">
        <f t="shared" si="2"/>
        <v>1.9288480512479171</v>
      </c>
    </row>
    <row r="111" spans="1:3" x14ac:dyDescent="0.2">
      <c r="A111">
        <v>2.06</v>
      </c>
      <c r="B111">
        <v>0.6</v>
      </c>
      <c r="C111">
        <f t="shared" si="2"/>
        <v>1.8103111905549327</v>
      </c>
    </row>
    <row r="112" spans="1:3" x14ac:dyDescent="0.2">
      <c r="A112">
        <v>2.19</v>
      </c>
      <c r="B112">
        <v>0.63</v>
      </c>
      <c r="C112">
        <f t="shared" si="2"/>
        <v>1.9087031939919852</v>
      </c>
    </row>
    <row r="113" spans="1:3" x14ac:dyDescent="0.2">
      <c r="A113">
        <v>1.96</v>
      </c>
      <c r="B113">
        <v>0.67</v>
      </c>
      <c r="C113">
        <f t="shared" si="2"/>
        <v>1.9164546843902301</v>
      </c>
    </row>
    <row r="114" spans="1:3" x14ac:dyDescent="0.2">
      <c r="A114">
        <v>2.16</v>
      </c>
      <c r="B114">
        <v>0.66</v>
      </c>
      <c r="C114">
        <f t="shared" si="2"/>
        <v>1.959794508513413</v>
      </c>
    </row>
    <row r="115" spans="1:3" x14ac:dyDescent="0.2">
      <c r="A115">
        <v>2.4</v>
      </c>
      <c r="B115">
        <v>0.74</v>
      </c>
      <c r="C115">
        <f t="shared" si="2"/>
        <v>2.190726807824142</v>
      </c>
    </row>
    <row r="116" spans="1:3" x14ac:dyDescent="0.2">
      <c r="A116">
        <v>2.23</v>
      </c>
      <c r="B116">
        <v>0.66</v>
      </c>
      <c r="C116">
        <f t="shared" si="2"/>
        <v>1.9807404637937824</v>
      </c>
    </row>
    <row r="117" spans="1:3" x14ac:dyDescent="0.2">
      <c r="A117">
        <v>2.37</v>
      </c>
      <c r="B117">
        <v>0.7</v>
      </c>
      <c r="C117">
        <f t="shared" si="2"/>
        <v>2.1022198748029264</v>
      </c>
    </row>
    <row r="118" spans="1:3" x14ac:dyDescent="0.2">
      <c r="A118">
        <v>2.1800000000000002</v>
      </c>
      <c r="B118">
        <v>0.69</v>
      </c>
      <c r="C118">
        <f t="shared" si="2"/>
        <v>2.024952719517942</v>
      </c>
    </row>
    <row r="119" spans="1:3" x14ac:dyDescent="0.2">
      <c r="A119">
        <v>2.4300000000000002</v>
      </c>
      <c r="B119">
        <v>0.79</v>
      </c>
      <c r="C119">
        <f t="shared" si="2"/>
        <v>2.2978242815007874</v>
      </c>
    </row>
    <row r="120" spans="1:3" x14ac:dyDescent="0.2">
      <c r="A120">
        <v>2.37</v>
      </c>
      <c r="B120">
        <v>0.76</v>
      </c>
      <c r="C120">
        <f t="shared" si="2"/>
        <v>2.2206929092637564</v>
      </c>
    </row>
    <row r="121" spans="1:3" x14ac:dyDescent="0.2">
      <c r="A121">
        <v>1.96</v>
      </c>
      <c r="B121">
        <v>0.55000000000000004</v>
      </c>
      <c r="C121">
        <f t="shared" si="2"/>
        <v>1.6801851647761055</v>
      </c>
    </row>
    <row r="122" spans="1:3" x14ac:dyDescent="0.2">
      <c r="A122">
        <v>2.12</v>
      </c>
      <c r="B122">
        <v>0.6</v>
      </c>
      <c r="C122">
        <f t="shared" si="2"/>
        <v>1.827719096821387</v>
      </c>
    </row>
    <row r="123" spans="1:3" x14ac:dyDescent="0.2">
      <c r="A123">
        <v>2</v>
      </c>
      <c r="B123">
        <v>0.61</v>
      </c>
      <c r="C123">
        <f t="shared" si="2"/>
        <v>1.8124243329489542</v>
      </c>
    </row>
    <row r="124" spans="1:3" x14ac:dyDescent="0.2">
      <c r="A124">
        <v>2.3199999999999998</v>
      </c>
      <c r="B124">
        <v>0.71</v>
      </c>
      <c r="C124">
        <f t="shared" si="2"/>
        <v>2.1071634428160837</v>
      </c>
    </row>
    <row r="125" spans="1:3" x14ac:dyDescent="0.2">
      <c r="A125">
        <v>2.21</v>
      </c>
      <c r="B125">
        <v>0.73</v>
      </c>
      <c r="C125">
        <f t="shared" si="2"/>
        <v>2.1120749562087182</v>
      </c>
    </row>
    <row r="126" spans="1:3" x14ac:dyDescent="0.2">
      <c r="A126">
        <v>2.08</v>
      </c>
      <c r="B126">
        <v>0.59</v>
      </c>
      <c r="C126">
        <f t="shared" si="2"/>
        <v>1.7959150162415685</v>
      </c>
    </row>
    <row r="127" spans="1:3" x14ac:dyDescent="0.2">
      <c r="A127">
        <v>2.4</v>
      </c>
      <c r="B127">
        <v>0.66</v>
      </c>
      <c r="C127">
        <f t="shared" si="2"/>
        <v>2.0298457339475813</v>
      </c>
    </row>
    <row r="128" spans="1:3" x14ac:dyDescent="0.2">
      <c r="A128">
        <v>2.1800000000000002</v>
      </c>
      <c r="B128">
        <v>0.67</v>
      </c>
      <c r="C128">
        <f t="shared" si="2"/>
        <v>1.9856316896888877</v>
      </c>
    </row>
    <row r="129" spans="1:3" x14ac:dyDescent="0.2">
      <c r="A129">
        <v>2.15</v>
      </c>
      <c r="B129">
        <v>0.65</v>
      </c>
      <c r="C129">
        <f t="shared" si="2"/>
        <v>1.9369498958557534</v>
      </c>
    </row>
    <row r="130" spans="1:3" x14ac:dyDescent="0.2">
      <c r="A130">
        <v>2.06</v>
      </c>
      <c r="B130">
        <v>0.68</v>
      </c>
      <c r="C130">
        <f t="shared" si="2"/>
        <v>1.9678485793560203</v>
      </c>
    </row>
    <row r="131" spans="1:3" x14ac:dyDescent="0.2">
      <c r="A131">
        <v>2.3199999999999998</v>
      </c>
      <c r="B131">
        <v>0.73</v>
      </c>
    </row>
    <row r="132" spans="1:3" x14ac:dyDescent="0.2">
      <c r="A132">
        <v>1.82</v>
      </c>
      <c r="B132">
        <v>0.56999999999999995</v>
      </c>
    </row>
    <row r="133" spans="1:3" x14ac:dyDescent="0.2">
      <c r="A133">
        <v>2.06</v>
      </c>
      <c r="B133">
        <v>0.61</v>
      </c>
    </row>
    <row r="134" spans="1:3" x14ac:dyDescent="0.2">
      <c r="A134">
        <v>2.13</v>
      </c>
      <c r="B134">
        <v>0.65</v>
      </c>
    </row>
    <row r="135" spans="1:3" x14ac:dyDescent="0.2">
      <c r="A135">
        <v>2.12</v>
      </c>
      <c r="B135">
        <v>0.66</v>
      </c>
    </row>
    <row r="136" spans="1:3" x14ac:dyDescent="0.2">
      <c r="A136">
        <v>2.25</v>
      </c>
      <c r="B136">
        <v>0.77</v>
      </c>
    </row>
    <row r="137" spans="1:3" x14ac:dyDescent="0.2">
      <c r="A137">
        <v>2.46</v>
      </c>
      <c r="B137">
        <v>0.72</v>
      </c>
    </row>
    <row r="138" spans="1:3" x14ac:dyDescent="0.2">
      <c r="A138">
        <v>2.0499999999999998</v>
      </c>
      <c r="B138">
        <v>0.46</v>
      </c>
    </row>
    <row r="139" spans="1:3" x14ac:dyDescent="0.2">
      <c r="A139">
        <v>2.2400000000000002</v>
      </c>
      <c r="B139">
        <v>0.67</v>
      </c>
    </row>
    <row r="140" spans="1:3" x14ac:dyDescent="0.2">
      <c r="A140">
        <v>1.96</v>
      </c>
      <c r="B140">
        <v>0.59</v>
      </c>
    </row>
    <row r="141" spans="1:3" x14ac:dyDescent="0.2">
      <c r="A141">
        <v>2.31</v>
      </c>
      <c r="B141">
        <v>0.74</v>
      </c>
    </row>
    <row r="142" spans="1:3" x14ac:dyDescent="0.2">
      <c r="A142">
        <v>2.52</v>
      </c>
      <c r="B142">
        <v>0.83</v>
      </c>
    </row>
    <row r="143" spans="1:3" x14ac:dyDescent="0.2">
      <c r="A143">
        <v>2.0699999999999998</v>
      </c>
      <c r="B143">
        <v>0.62</v>
      </c>
    </row>
    <row r="144" spans="1:3" x14ac:dyDescent="0.2">
      <c r="A144">
        <v>1.93</v>
      </c>
      <c r="B144">
        <v>0.57999999999999996</v>
      </c>
    </row>
    <row r="145" spans="1:2" x14ac:dyDescent="0.2">
      <c r="A145">
        <v>2.06</v>
      </c>
      <c r="B145">
        <v>0.63</v>
      </c>
    </row>
    <row r="146" spans="1:2" x14ac:dyDescent="0.2">
      <c r="A146">
        <v>2.23</v>
      </c>
      <c r="B146">
        <v>0.66</v>
      </c>
    </row>
    <row r="147" spans="1:2" x14ac:dyDescent="0.2">
      <c r="A147">
        <v>2.27</v>
      </c>
      <c r="B147">
        <v>0.7</v>
      </c>
    </row>
    <row r="148" spans="1:2" x14ac:dyDescent="0.2">
      <c r="A148">
        <v>2.25</v>
      </c>
      <c r="B148">
        <v>0.69</v>
      </c>
    </row>
    <row r="149" spans="1:2" x14ac:dyDescent="0.2">
      <c r="A149">
        <v>2.39</v>
      </c>
      <c r="B149">
        <v>0.72</v>
      </c>
    </row>
    <row r="150" spans="1:2" x14ac:dyDescent="0.2">
      <c r="A150">
        <v>2.33</v>
      </c>
      <c r="B150">
        <v>0.64</v>
      </c>
    </row>
    <row r="151" spans="1:2" x14ac:dyDescent="0.2">
      <c r="A151">
        <v>2.02</v>
      </c>
      <c r="B151">
        <v>0.61</v>
      </c>
    </row>
    <row r="152" spans="1:2" x14ac:dyDescent="0.2">
      <c r="A152">
        <v>1.91</v>
      </c>
      <c r="B152">
        <v>0.57999999999999996</v>
      </c>
    </row>
    <row r="153" spans="1:2" x14ac:dyDescent="0.2">
      <c r="A153">
        <v>2.0099999999999998</v>
      </c>
      <c r="B153">
        <v>0.67</v>
      </c>
    </row>
    <row r="154" spans="1:2" x14ac:dyDescent="0.2">
      <c r="A154">
        <v>2.13</v>
      </c>
      <c r="B154">
        <v>0.69</v>
      </c>
    </row>
    <row r="155" spans="1:2" x14ac:dyDescent="0.2">
      <c r="A155">
        <v>2.27</v>
      </c>
      <c r="B155">
        <v>0.69</v>
      </c>
    </row>
    <row r="156" spans="1:2" x14ac:dyDescent="0.2">
      <c r="A156">
        <v>2.14</v>
      </c>
      <c r="B156">
        <v>0.67</v>
      </c>
    </row>
    <row r="157" spans="1:2" x14ac:dyDescent="0.2">
      <c r="A157">
        <v>2.14</v>
      </c>
      <c r="B157">
        <v>0.63</v>
      </c>
    </row>
    <row r="158" spans="1:2" x14ac:dyDescent="0.2">
      <c r="A158">
        <v>2.2000000000000002</v>
      </c>
      <c r="B158">
        <v>0.59</v>
      </c>
    </row>
    <row r="159" spans="1:2" x14ac:dyDescent="0.2">
      <c r="A159">
        <v>2.29</v>
      </c>
      <c r="B159">
        <v>0.72</v>
      </c>
    </row>
    <row r="160" spans="1:2" x14ac:dyDescent="0.2">
      <c r="A160">
        <v>2.5099999999999998</v>
      </c>
      <c r="B160">
        <v>0.83</v>
      </c>
    </row>
    <row r="161" spans="1:2" x14ac:dyDescent="0.2">
      <c r="A161">
        <v>2.34</v>
      </c>
      <c r="B161">
        <v>0.79</v>
      </c>
    </row>
    <row r="162" spans="1:2" x14ac:dyDescent="0.2">
      <c r="A162" s="6">
        <v>1.78</v>
      </c>
      <c r="B162" s="6">
        <v>0.62</v>
      </c>
    </row>
    <row r="163" spans="1:2" x14ac:dyDescent="0.2">
      <c r="A163">
        <v>2.02</v>
      </c>
      <c r="B163">
        <v>0.63</v>
      </c>
    </row>
    <row r="164" spans="1:2" x14ac:dyDescent="0.2">
      <c r="A164">
        <v>2.2200000000000002</v>
      </c>
      <c r="B164">
        <v>0.61</v>
      </c>
    </row>
    <row r="165" spans="1:2" x14ac:dyDescent="0.2">
      <c r="A165">
        <v>1.96</v>
      </c>
      <c r="B165">
        <v>0.68</v>
      </c>
    </row>
    <row r="166" spans="1:2" x14ac:dyDescent="0.2">
      <c r="A166">
        <v>2.0699999999999998</v>
      </c>
      <c r="B166">
        <v>0.59</v>
      </c>
    </row>
    <row r="167" spans="1:2" x14ac:dyDescent="0.2">
      <c r="A167">
        <v>2.14</v>
      </c>
      <c r="B167">
        <v>0.61</v>
      </c>
    </row>
    <row r="168" spans="1:2" x14ac:dyDescent="0.2">
      <c r="A168">
        <v>2.5099999999999998</v>
      </c>
      <c r="B168">
        <v>0.79</v>
      </c>
    </row>
    <row r="169" spans="1:2" x14ac:dyDescent="0.2">
      <c r="A169">
        <v>1.96</v>
      </c>
      <c r="B169">
        <v>0.71</v>
      </c>
    </row>
    <row r="170" spans="1:2" x14ac:dyDescent="0.2">
      <c r="A170">
        <v>2.25</v>
      </c>
      <c r="B170">
        <v>0.77</v>
      </c>
    </row>
    <row r="171" spans="1:2" x14ac:dyDescent="0.2">
      <c r="A171">
        <v>2.0099999999999998</v>
      </c>
      <c r="B171">
        <v>0.56999999999999995</v>
      </c>
    </row>
    <row r="172" spans="1:2" x14ac:dyDescent="0.2">
      <c r="A172">
        <v>2.33</v>
      </c>
      <c r="B172">
        <v>0.81</v>
      </c>
    </row>
    <row r="173" spans="1:2" x14ac:dyDescent="0.2">
      <c r="A173">
        <v>2.39</v>
      </c>
      <c r="B173">
        <v>0.8</v>
      </c>
    </row>
    <row r="174" spans="1:2" x14ac:dyDescent="0.2">
      <c r="A174">
        <v>2.2599999999999998</v>
      </c>
      <c r="B174">
        <v>0.63</v>
      </c>
    </row>
    <row r="175" spans="1:2" x14ac:dyDescent="0.2">
      <c r="A175">
        <v>1.96</v>
      </c>
      <c r="B175">
        <v>0.67</v>
      </c>
    </row>
    <row r="176" spans="1:2" x14ac:dyDescent="0.2">
      <c r="A176">
        <v>2.0099999999999998</v>
      </c>
      <c r="B176">
        <v>0.65</v>
      </c>
    </row>
    <row r="177" spans="1:2" x14ac:dyDescent="0.2">
      <c r="A177">
        <v>2.0699999999999998</v>
      </c>
      <c r="B177">
        <v>0.57999999999999996</v>
      </c>
    </row>
    <row r="178" spans="1:2" x14ac:dyDescent="0.2">
      <c r="A178">
        <v>2.58</v>
      </c>
      <c r="B178">
        <v>0.8</v>
      </c>
    </row>
    <row r="179" spans="1:2" x14ac:dyDescent="0.2">
      <c r="A179">
        <v>2.2599999999999998</v>
      </c>
      <c r="B179">
        <v>0.7</v>
      </c>
    </row>
    <row r="180" spans="1:2" x14ac:dyDescent="0.2">
      <c r="A180" s="6">
        <v>1.77</v>
      </c>
      <c r="B180" s="6">
        <v>0.45</v>
      </c>
    </row>
    <row r="181" spans="1:2" x14ac:dyDescent="0.2">
      <c r="A181">
        <v>2.2000000000000002</v>
      </c>
      <c r="B181">
        <v>0.61</v>
      </c>
    </row>
    <row r="182" spans="1:2" x14ac:dyDescent="0.2">
      <c r="A182">
        <v>2.11</v>
      </c>
      <c r="B182">
        <v>0.64</v>
      </c>
    </row>
    <row r="183" spans="1:2" x14ac:dyDescent="0.2">
      <c r="A183">
        <v>1.98</v>
      </c>
      <c r="B183">
        <v>0.55000000000000004</v>
      </c>
    </row>
    <row r="184" spans="1:2" x14ac:dyDescent="0.2">
      <c r="A184">
        <v>2.23</v>
      </c>
      <c r="B184">
        <v>0.62</v>
      </c>
    </row>
    <row r="185" spans="1:2" x14ac:dyDescent="0.2">
      <c r="A185">
        <v>2.4900000000000002</v>
      </c>
      <c r="B185">
        <v>0.81</v>
      </c>
    </row>
    <row r="186" spans="1:2" x14ac:dyDescent="0.2">
      <c r="A186">
        <v>2.33</v>
      </c>
      <c r="B186">
        <v>0.71</v>
      </c>
    </row>
    <row r="187" spans="1:2" x14ac:dyDescent="0.2">
      <c r="A187">
        <v>2.3199999999999998</v>
      </c>
      <c r="B187">
        <v>0.78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3</vt:i4>
      </vt:variant>
    </vt:vector>
  </HeadingPairs>
  <TitlesOfParts>
    <vt:vector size="7" baseType="lpstr">
      <vt:lpstr>Size Data</vt:lpstr>
      <vt:lpstr>C. fin length statistics</vt:lpstr>
      <vt:lpstr>C. fin width statistics</vt:lpstr>
      <vt:lpstr>ESD Statistics</vt:lpstr>
      <vt:lpstr>C. fin length histogram</vt:lpstr>
      <vt:lpstr>C. fin width histogram</vt:lpstr>
      <vt:lpstr>ESD Histogram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Delphine Mossman</cp:lastModifiedBy>
  <dcterms:created xsi:type="dcterms:W3CDTF">2021-01-04T20:08:08Z</dcterms:created>
  <dcterms:modified xsi:type="dcterms:W3CDTF">2022-12-19T16:37:46Z</dcterms:modified>
</cp:coreProperties>
</file>