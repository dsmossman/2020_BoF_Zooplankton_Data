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phine\Documents\2020_BoF_Zooplankton_Data\Raw_Data\Multinet\"/>
    </mc:Choice>
  </mc:AlternateContent>
  <xr:revisionPtr revIDLastSave="0" documentId="13_ncr:1_{2D7248FE-E55C-4F5F-9DCC-B0C05B6A4FDC}" xr6:coauthVersionLast="47" xr6:coauthVersionMax="47" xr10:uidLastSave="{00000000-0000-0000-0000-000000000000}"/>
  <bookViews>
    <workbookView xWindow="-108" yWindow="-108" windowWidth="23256" windowHeight="12456" activeTab="2" xr2:uid="{94390A3C-5008-134E-A507-1FF054C50E1C}"/>
  </bookViews>
  <sheets>
    <sheet name="abundance_data" sheetId="1" r:id="rId1"/>
    <sheet name="biomass_data" sheetId="2" r:id="rId2"/>
    <sheet name="size_data" sheetId="3" r:id="rId3"/>
  </sheets>
  <definedNames>
    <definedName name="_xlnm._FilterDatabase" localSheetId="0" hidden="1">abundance_data!$H$1:$H$1783</definedName>
    <definedName name="_xlnm._FilterDatabase" localSheetId="2" hidden="1">size_data!$A$1:$K$363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3" i="2" l="1"/>
  <c r="I187" i="2"/>
  <c r="I183" i="2"/>
  <c r="I179" i="2"/>
  <c r="I176" i="2"/>
  <c r="T1544" i="1"/>
  <c r="I158" i="2"/>
  <c r="I131" i="2"/>
  <c r="I171" i="2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I4" i="2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31" i="1"/>
  <c r="T30" i="1"/>
  <c r="T29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" i="1"/>
  <c r="T120" i="1"/>
  <c r="I121" i="2"/>
  <c r="T1156" i="1"/>
  <c r="I118" i="2"/>
  <c r="I114" i="2"/>
  <c r="I106" i="2"/>
  <c r="I104" i="2"/>
  <c r="I89" i="2"/>
  <c r="T648" i="1"/>
  <c r="I64" i="2"/>
  <c r="I59" i="2"/>
  <c r="I164" i="2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61" i="1"/>
  <c r="T1360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I142" i="2"/>
  <c r="T1335" i="1"/>
  <c r="T1336" i="1"/>
  <c r="T1337" i="1"/>
  <c r="T133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I134" i="2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5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I108" i="2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52" i="1"/>
  <c r="T1753" i="1"/>
  <c r="T1754" i="1"/>
  <c r="T1755" i="1"/>
  <c r="T1756" i="1"/>
  <c r="T1757" i="1"/>
  <c r="T1750" i="1"/>
  <c r="T1751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70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9" i="1"/>
  <c r="T650" i="1"/>
  <c r="T651" i="1"/>
  <c r="T652" i="1"/>
  <c r="T653" i="1"/>
  <c r="T654" i="1"/>
  <c r="T614" i="1"/>
  <c r="T615" i="1"/>
  <c r="T616" i="1"/>
  <c r="T617" i="1"/>
  <c r="T618" i="1"/>
  <c r="T619" i="1"/>
  <c r="T620" i="1"/>
  <c r="T621" i="1"/>
  <c r="T622" i="1"/>
  <c r="T623" i="1"/>
  <c r="T624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588" i="1"/>
  <c r="T587" i="1"/>
  <c r="T586" i="1"/>
  <c r="T585" i="1"/>
  <c r="T584" i="1"/>
  <c r="T583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10" i="1"/>
  <c r="T211" i="1"/>
  <c r="T212" i="1"/>
  <c r="T213" i="1"/>
  <c r="T214" i="1"/>
  <c r="T215" i="1"/>
  <c r="T216" i="1"/>
  <c r="T217" i="1"/>
  <c r="T218" i="1"/>
  <c r="T194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163" i="1"/>
  <c r="T164" i="1"/>
  <c r="T165" i="1"/>
  <c r="T166" i="1"/>
  <c r="T167" i="1"/>
  <c r="T168" i="1"/>
  <c r="T169" i="1"/>
  <c r="T162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592" i="1"/>
  <c r="T1591" i="1"/>
  <c r="T1590" i="1"/>
  <c r="T1589" i="1"/>
  <c r="T1588" i="1"/>
  <c r="T1587" i="1"/>
  <c r="T1586" i="1"/>
  <c r="T1585" i="1"/>
  <c r="T1584" i="1"/>
  <c r="T1583" i="1"/>
  <c r="T1582" i="1"/>
  <c r="T1581" i="1"/>
  <c r="T1580" i="1"/>
  <c r="T1579" i="1"/>
  <c r="T1578" i="1"/>
  <c r="T1577" i="1"/>
  <c r="T1576" i="1"/>
  <c r="T1575" i="1"/>
  <c r="T1574" i="1"/>
  <c r="T1573" i="1"/>
  <c r="T1572" i="1"/>
  <c r="T1571" i="1"/>
  <c r="T1570" i="1"/>
  <c r="T1569" i="1"/>
  <c r="T1568" i="1"/>
  <c r="T1567" i="1"/>
  <c r="T1566" i="1"/>
  <c r="T1565" i="1"/>
  <c r="T1564" i="1"/>
  <c r="T1563" i="1"/>
  <c r="T1562" i="1"/>
  <c r="T1561" i="1"/>
  <c r="T1560" i="1"/>
  <c r="T1559" i="1"/>
  <c r="T1558" i="1"/>
  <c r="T1557" i="1"/>
  <c r="T1556" i="1"/>
  <c r="T1555" i="1"/>
  <c r="T1554" i="1"/>
  <c r="T1553" i="1"/>
  <c r="T1552" i="1"/>
  <c r="T1551" i="1"/>
  <c r="T1550" i="1"/>
  <c r="T1549" i="1"/>
  <c r="T1548" i="1"/>
  <c r="T1547" i="1"/>
  <c r="T1546" i="1"/>
  <c r="T1545" i="1"/>
  <c r="T1543" i="1"/>
  <c r="T1542" i="1"/>
  <c r="T1541" i="1"/>
  <c r="T1540" i="1"/>
  <c r="T1539" i="1"/>
  <c r="T1538" i="1"/>
  <c r="T1537" i="1"/>
  <c r="T1536" i="1"/>
  <c r="T1535" i="1"/>
  <c r="T1534" i="1"/>
  <c r="T1533" i="1"/>
  <c r="T1532" i="1"/>
  <c r="T1531" i="1"/>
  <c r="T1530" i="1"/>
  <c r="T1529" i="1"/>
  <c r="T1528" i="1"/>
  <c r="T1527" i="1"/>
  <c r="T1526" i="1"/>
  <c r="T1525" i="1"/>
  <c r="T1524" i="1"/>
  <c r="T1523" i="1"/>
  <c r="T1522" i="1"/>
  <c r="T1521" i="1"/>
  <c r="T1520" i="1"/>
  <c r="T1519" i="1"/>
  <c r="T1518" i="1"/>
  <c r="T1517" i="1"/>
  <c r="T1516" i="1"/>
  <c r="T1515" i="1"/>
  <c r="T1514" i="1"/>
  <c r="T1513" i="1"/>
  <c r="T1512" i="1"/>
  <c r="T1511" i="1"/>
  <c r="T1510" i="1"/>
  <c r="T1509" i="1"/>
  <c r="T1508" i="1"/>
  <c r="T1507" i="1"/>
  <c r="T1506" i="1"/>
  <c r="T1505" i="1"/>
  <c r="T1504" i="1"/>
  <c r="T1503" i="1"/>
  <c r="T1502" i="1"/>
  <c r="T1435" i="1"/>
  <c r="T1434" i="1"/>
  <c r="T1433" i="1"/>
  <c r="T1432" i="1"/>
  <c r="T1431" i="1"/>
  <c r="T1430" i="1"/>
  <c r="T1429" i="1"/>
  <c r="T1428" i="1"/>
  <c r="T1427" i="1"/>
  <c r="T1426" i="1"/>
  <c r="T1425" i="1"/>
  <c r="T1424" i="1"/>
  <c r="T1423" i="1"/>
  <c r="T1422" i="1"/>
  <c r="T1421" i="1"/>
  <c r="T1420" i="1"/>
  <c r="T1419" i="1"/>
  <c r="T1418" i="1"/>
  <c r="T1417" i="1"/>
  <c r="T1416" i="1"/>
  <c r="T1415" i="1"/>
  <c r="T1414" i="1"/>
  <c r="T1413" i="1"/>
  <c r="T1412" i="1"/>
  <c r="T1411" i="1"/>
  <c r="T1410" i="1"/>
  <c r="T1409" i="1"/>
  <c r="T1408" i="1"/>
  <c r="T1407" i="1"/>
  <c r="T1406" i="1"/>
  <c r="T1405" i="1"/>
  <c r="T1404" i="1"/>
  <c r="T1403" i="1"/>
  <c r="T1402" i="1"/>
  <c r="T1401" i="1"/>
  <c r="T1400" i="1"/>
  <c r="T1399" i="1"/>
  <c r="T1398" i="1"/>
  <c r="T1397" i="1"/>
  <c r="T1280" i="1"/>
  <c r="T1279" i="1"/>
  <c r="T1278" i="1"/>
  <c r="T1277" i="1"/>
  <c r="T1276" i="1"/>
  <c r="T1275" i="1"/>
  <c r="T1274" i="1"/>
  <c r="T1273" i="1"/>
  <c r="T1272" i="1"/>
  <c r="T1271" i="1"/>
  <c r="T1270" i="1"/>
  <c r="T1269" i="1"/>
  <c r="T1268" i="1"/>
  <c r="T1267" i="1"/>
  <c r="T1266" i="1"/>
  <c r="T1265" i="1"/>
  <c r="T1264" i="1"/>
  <c r="T1263" i="1"/>
  <c r="T1262" i="1"/>
  <c r="T1261" i="1"/>
  <c r="T1260" i="1"/>
  <c r="T1259" i="1"/>
  <c r="T1258" i="1"/>
  <c r="T1257" i="1"/>
  <c r="T1256" i="1"/>
  <c r="T1255" i="1"/>
  <c r="T1254" i="1"/>
  <c r="T1253" i="1"/>
  <c r="T1252" i="1"/>
  <c r="T1251" i="1"/>
  <c r="T1250" i="1"/>
  <c r="T1249" i="1"/>
  <c r="T1248" i="1"/>
  <c r="T1247" i="1"/>
  <c r="T1246" i="1"/>
  <c r="T1245" i="1"/>
  <c r="T1244" i="1"/>
  <c r="T1243" i="1"/>
  <c r="T1242" i="1"/>
  <c r="T1241" i="1"/>
  <c r="T1240" i="1"/>
  <c r="T1239" i="1"/>
  <c r="T1238" i="1"/>
  <c r="T1237" i="1"/>
  <c r="T1236" i="1"/>
  <c r="T1235" i="1"/>
  <c r="T1234" i="1"/>
  <c r="T1233" i="1"/>
  <c r="T1232" i="1"/>
  <c r="T1231" i="1"/>
  <c r="T1230" i="1"/>
  <c r="T1229" i="1"/>
  <c r="T1228" i="1"/>
  <c r="T1227" i="1"/>
  <c r="T1226" i="1"/>
  <c r="T1225" i="1"/>
  <c r="T1224" i="1"/>
  <c r="T1223" i="1"/>
  <c r="T1222" i="1"/>
  <c r="T1221" i="1"/>
  <c r="T1220" i="1"/>
  <c r="T1219" i="1"/>
  <c r="T1218" i="1"/>
  <c r="T1217" i="1"/>
  <c r="T1216" i="1"/>
  <c r="T1215" i="1"/>
  <c r="T1214" i="1"/>
  <c r="T1213" i="1"/>
  <c r="T1212" i="1"/>
  <c r="T1211" i="1"/>
  <c r="T1210" i="1"/>
  <c r="T1209" i="1"/>
  <c r="T1208" i="1"/>
  <c r="T1207" i="1"/>
  <c r="T1206" i="1"/>
  <c r="T1205" i="1"/>
  <c r="T1204" i="1"/>
  <c r="T1203" i="1"/>
  <c r="T1202" i="1"/>
  <c r="T1201" i="1"/>
  <c r="T1200" i="1"/>
  <c r="T1199" i="1"/>
  <c r="T1198" i="1"/>
  <c r="T1197" i="1"/>
  <c r="T1196" i="1"/>
  <c r="T1195" i="1"/>
  <c r="T1194" i="1"/>
  <c r="T1193" i="1"/>
  <c r="T1192" i="1"/>
  <c r="T1191" i="1"/>
  <c r="T1190" i="1"/>
  <c r="T1189" i="1"/>
  <c r="T1188" i="1"/>
  <c r="T1187" i="1"/>
  <c r="T1186" i="1"/>
  <c r="T1185" i="1"/>
  <c r="T1184" i="1"/>
  <c r="T1183" i="1"/>
  <c r="T1182" i="1"/>
  <c r="T1181" i="1"/>
  <c r="T1180" i="1"/>
  <c r="T1179" i="1"/>
  <c r="T1178" i="1"/>
  <c r="T1177" i="1"/>
  <c r="T1176" i="1"/>
  <c r="T1175" i="1"/>
  <c r="T1174" i="1"/>
  <c r="T1173" i="1"/>
  <c r="T1172" i="1"/>
  <c r="T1171" i="1"/>
  <c r="T1170" i="1"/>
  <c r="T1169" i="1"/>
  <c r="T1168" i="1"/>
  <c r="T1167" i="1"/>
  <c r="T1166" i="1"/>
  <c r="T1165" i="1"/>
  <c r="T1164" i="1"/>
  <c r="T1163" i="1"/>
  <c r="T1162" i="1"/>
  <c r="T1161" i="1"/>
  <c r="T1160" i="1"/>
  <c r="T1159" i="1"/>
  <c r="T1158" i="1"/>
  <c r="T1157" i="1"/>
  <c r="T1155" i="1"/>
  <c r="T1154" i="1"/>
  <c r="T1153" i="1"/>
  <c r="T1152" i="1"/>
  <c r="T1151" i="1"/>
  <c r="T1150" i="1"/>
  <c r="T1149" i="1"/>
  <c r="T1148" i="1"/>
  <c r="T1147" i="1"/>
  <c r="T1146" i="1"/>
  <c r="T1145" i="1"/>
  <c r="T1144" i="1"/>
  <c r="T1143" i="1"/>
  <c r="T1142" i="1"/>
  <c r="T1141" i="1"/>
  <c r="T1140" i="1"/>
  <c r="T1139" i="1"/>
  <c r="T1138" i="1"/>
  <c r="T1137" i="1"/>
  <c r="T1136" i="1"/>
  <c r="T1135" i="1"/>
  <c r="T1134" i="1"/>
  <c r="T1133" i="1"/>
  <c r="T1132" i="1"/>
  <c r="T1131" i="1"/>
  <c r="T1130" i="1"/>
  <c r="T1129" i="1"/>
  <c r="T1128" i="1"/>
  <c r="T1127" i="1"/>
  <c r="T1126" i="1"/>
  <c r="T1125" i="1"/>
  <c r="T1124" i="1"/>
  <c r="T1123" i="1"/>
  <c r="T1122" i="1"/>
  <c r="T1121" i="1"/>
  <c r="T1120" i="1"/>
  <c r="T1119" i="1"/>
  <c r="T1118" i="1"/>
  <c r="T1117" i="1"/>
  <c r="T1116" i="1"/>
  <c r="T1115" i="1"/>
  <c r="T1114" i="1"/>
  <c r="T1113" i="1"/>
  <c r="T1112" i="1"/>
  <c r="T1111" i="1"/>
  <c r="T1110" i="1"/>
  <c r="T1109" i="1"/>
  <c r="T1108" i="1"/>
  <c r="T1107" i="1"/>
  <c r="T1106" i="1"/>
  <c r="T1104" i="1"/>
  <c r="T1103" i="1"/>
  <c r="T1102" i="1"/>
  <c r="T1101" i="1"/>
  <c r="T1100" i="1"/>
  <c r="T1099" i="1"/>
  <c r="T1098" i="1"/>
  <c r="T1097" i="1"/>
  <c r="T1096" i="1"/>
  <c r="T1095" i="1"/>
  <c r="T1094" i="1"/>
  <c r="T1093" i="1"/>
  <c r="T1092" i="1"/>
  <c r="T1091" i="1"/>
  <c r="T1090" i="1"/>
  <c r="T1089" i="1"/>
  <c r="T1088" i="1"/>
  <c r="T1087" i="1"/>
  <c r="T1086" i="1"/>
  <c r="T1085" i="1"/>
  <c r="T1084" i="1"/>
  <c r="T1083" i="1"/>
  <c r="T1082" i="1"/>
  <c r="T1081" i="1"/>
  <c r="T1080" i="1"/>
  <c r="T1079" i="1"/>
  <c r="T1078" i="1"/>
  <c r="T1077" i="1"/>
  <c r="T1076" i="1"/>
  <c r="T1075" i="1"/>
  <c r="T1074" i="1"/>
  <c r="T1073" i="1"/>
  <c r="T1072" i="1"/>
  <c r="T1071" i="1"/>
  <c r="T1070" i="1"/>
  <c r="T1069" i="1"/>
  <c r="T1068" i="1"/>
  <c r="T1067" i="1"/>
  <c r="T1066" i="1"/>
  <c r="T1065" i="1"/>
  <c r="T1064" i="1"/>
  <c r="T1063" i="1"/>
  <c r="T1062" i="1"/>
  <c r="T1061" i="1"/>
  <c r="T1060" i="1"/>
  <c r="T1059" i="1"/>
  <c r="T1058" i="1"/>
  <c r="T1057" i="1"/>
  <c r="T1056" i="1"/>
  <c r="T1055" i="1"/>
  <c r="T1054" i="1"/>
  <c r="T1053" i="1"/>
  <c r="T1052" i="1"/>
  <c r="T1051" i="1"/>
  <c r="T1050" i="1"/>
  <c r="T1049" i="1"/>
  <c r="T1048" i="1"/>
  <c r="T1047" i="1"/>
  <c r="T1046" i="1"/>
  <c r="T1045" i="1"/>
  <c r="T1044" i="1"/>
  <c r="T1043" i="1"/>
  <c r="T1042" i="1"/>
  <c r="T1041" i="1"/>
  <c r="T1040" i="1"/>
  <c r="T1039" i="1"/>
  <c r="T1038" i="1"/>
  <c r="T1037" i="1"/>
  <c r="T1036" i="1"/>
  <c r="T1035" i="1"/>
  <c r="T1034" i="1"/>
  <c r="T1033" i="1"/>
  <c r="T1032" i="1"/>
  <c r="T1031" i="1"/>
  <c r="T1030" i="1"/>
  <c r="T1029" i="1"/>
  <c r="T1028" i="1"/>
  <c r="T1027" i="1"/>
  <c r="T1026" i="1"/>
  <c r="T1025" i="1"/>
  <c r="T1024" i="1"/>
  <c r="T1023" i="1"/>
  <c r="T1022" i="1"/>
  <c r="T1021" i="1"/>
  <c r="T1020" i="1"/>
  <c r="T1019" i="1"/>
  <c r="T1018" i="1"/>
  <c r="T1017" i="1"/>
  <c r="T1016" i="1"/>
  <c r="T1015" i="1"/>
  <c r="T1014" i="1"/>
  <c r="T1013" i="1"/>
  <c r="T1012" i="1"/>
  <c r="T1011" i="1"/>
  <c r="T1010" i="1"/>
  <c r="T1009" i="1"/>
  <c r="T1008" i="1"/>
  <c r="T1007" i="1"/>
  <c r="T1006" i="1"/>
  <c r="T1005" i="1"/>
  <c r="T1004" i="1"/>
  <c r="T1003" i="1"/>
  <c r="T1002" i="1"/>
  <c r="T1001" i="1"/>
  <c r="T1000" i="1"/>
  <c r="T999" i="1"/>
  <c r="T998" i="1"/>
  <c r="T997" i="1"/>
  <c r="T996" i="1"/>
  <c r="T995" i="1"/>
  <c r="T994" i="1"/>
  <c r="T993" i="1"/>
  <c r="T992" i="1"/>
  <c r="T991" i="1"/>
  <c r="T990" i="1"/>
  <c r="T989" i="1"/>
  <c r="T988" i="1"/>
  <c r="T987" i="1"/>
  <c r="T986" i="1"/>
  <c r="T985" i="1"/>
  <c r="T984" i="1"/>
  <c r="T983" i="1"/>
  <c r="T982" i="1"/>
  <c r="T981" i="1"/>
  <c r="T980" i="1"/>
  <c r="T979" i="1"/>
  <c r="T978" i="1"/>
  <c r="T977" i="1"/>
  <c r="T976" i="1"/>
  <c r="T975" i="1"/>
  <c r="T974" i="1"/>
  <c r="T973" i="1"/>
  <c r="T972" i="1"/>
  <c r="T971" i="1"/>
  <c r="T970" i="1"/>
  <c r="T969" i="1"/>
  <c r="T968" i="1"/>
  <c r="T967" i="1"/>
  <c r="T966" i="1"/>
  <c r="T965" i="1"/>
  <c r="T964" i="1"/>
  <c r="T963" i="1"/>
  <c r="T962" i="1"/>
  <c r="T961" i="1"/>
  <c r="T960" i="1"/>
  <c r="T959" i="1"/>
  <c r="T958" i="1"/>
  <c r="T957" i="1"/>
  <c r="T956" i="1"/>
  <c r="T955" i="1"/>
  <c r="T954" i="1"/>
  <c r="T953" i="1"/>
  <c r="T952" i="1"/>
  <c r="T951" i="1"/>
  <c r="T950" i="1"/>
  <c r="T949" i="1"/>
  <c r="T948" i="1"/>
  <c r="T947" i="1"/>
  <c r="T946" i="1"/>
  <c r="T945" i="1"/>
  <c r="T944" i="1"/>
  <c r="T943" i="1"/>
  <c r="T942" i="1"/>
  <c r="T941" i="1"/>
  <c r="T940" i="1"/>
  <c r="T939" i="1"/>
  <c r="T938" i="1"/>
  <c r="T937" i="1"/>
  <c r="T936" i="1"/>
  <c r="T935" i="1"/>
  <c r="T934" i="1"/>
  <c r="T933" i="1"/>
  <c r="T932" i="1"/>
  <c r="T931" i="1"/>
  <c r="T930" i="1"/>
  <c r="T929" i="1"/>
  <c r="T928" i="1"/>
  <c r="T927" i="1"/>
  <c r="T926" i="1"/>
  <c r="T925" i="1"/>
  <c r="T924" i="1"/>
  <c r="T923" i="1"/>
  <c r="T922" i="1"/>
  <c r="T921" i="1"/>
  <c r="T920" i="1"/>
  <c r="T919" i="1"/>
  <c r="T918" i="1"/>
  <c r="T917" i="1"/>
  <c r="T916" i="1"/>
  <c r="T915" i="1"/>
  <c r="T914" i="1"/>
  <c r="T913" i="1"/>
  <c r="T912" i="1"/>
  <c r="T911" i="1"/>
  <c r="T910" i="1"/>
  <c r="T909" i="1"/>
  <c r="T908" i="1"/>
  <c r="T907" i="1"/>
  <c r="T906" i="1"/>
  <c r="T905" i="1"/>
  <c r="T904" i="1"/>
  <c r="T903" i="1"/>
  <c r="T902" i="1"/>
  <c r="T901" i="1"/>
  <c r="T900" i="1"/>
  <c r="T899" i="1"/>
  <c r="T898" i="1"/>
  <c r="T897" i="1"/>
  <c r="T896" i="1"/>
  <c r="T895" i="1"/>
  <c r="T894" i="1"/>
  <c r="T893" i="1"/>
  <c r="T892" i="1"/>
  <c r="T891" i="1"/>
  <c r="T890" i="1"/>
  <c r="T889" i="1"/>
  <c r="T888" i="1"/>
  <c r="T887" i="1"/>
  <c r="T886" i="1"/>
  <c r="T885" i="1"/>
  <c r="T884" i="1"/>
  <c r="T883" i="1"/>
  <c r="T882" i="1"/>
  <c r="T881" i="1"/>
  <c r="T880" i="1"/>
  <c r="T879" i="1"/>
  <c r="T878" i="1"/>
  <c r="T877" i="1"/>
  <c r="T876" i="1"/>
  <c r="T875" i="1"/>
  <c r="T874" i="1"/>
  <c r="T873" i="1"/>
  <c r="T872" i="1"/>
  <c r="T871" i="1"/>
  <c r="T870" i="1"/>
  <c r="T869" i="1"/>
  <c r="T868" i="1"/>
  <c r="T867" i="1"/>
  <c r="T866" i="1"/>
  <c r="T865" i="1"/>
  <c r="T864" i="1"/>
  <c r="T863" i="1"/>
  <c r="T862" i="1"/>
  <c r="T861" i="1"/>
  <c r="T860" i="1"/>
  <c r="T859" i="1"/>
  <c r="T858" i="1"/>
  <c r="T857" i="1"/>
  <c r="T856" i="1"/>
  <c r="T855" i="1"/>
  <c r="T854" i="1"/>
  <c r="T853" i="1"/>
  <c r="T852" i="1"/>
  <c r="T851" i="1"/>
  <c r="T850" i="1"/>
  <c r="T849" i="1"/>
  <c r="T848" i="1"/>
  <c r="T847" i="1"/>
  <c r="T846" i="1"/>
  <c r="T845" i="1"/>
  <c r="T844" i="1"/>
  <c r="T843" i="1"/>
  <c r="T842" i="1"/>
  <c r="T841" i="1"/>
  <c r="T840" i="1"/>
  <c r="T839" i="1"/>
  <c r="T838" i="1"/>
  <c r="T837" i="1"/>
  <c r="T836" i="1"/>
  <c r="T835" i="1"/>
  <c r="T834" i="1"/>
  <c r="T833" i="1"/>
  <c r="T832" i="1"/>
  <c r="T831" i="1"/>
  <c r="T830" i="1"/>
  <c r="T829" i="1"/>
  <c r="T828" i="1"/>
  <c r="T827" i="1"/>
  <c r="T826" i="1"/>
  <c r="T825" i="1"/>
  <c r="T824" i="1"/>
  <c r="T823" i="1"/>
  <c r="T822" i="1"/>
  <c r="T821" i="1"/>
  <c r="T820" i="1"/>
  <c r="T819" i="1"/>
  <c r="T818" i="1"/>
  <c r="T817" i="1"/>
  <c r="T816" i="1"/>
  <c r="T815" i="1"/>
  <c r="T814" i="1"/>
  <c r="T813" i="1"/>
  <c r="T812" i="1"/>
  <c r="T811" i="1"/>
  <c r="T810" i="1"/>
  <c r="T809" i="1"/>
  <c r="T808" i="1"/>
  <c r="T807" i="1"/>
  <c r="T806" i="1"/>
  <c r="T805" i="1"/>
  <c r="T804" i="1"/>
  <c r="T803" i="1"/>
  <c r="T802" i="1"/>
  <c r="T801" i="1"/>
  <c r="T800" i="1"/>
  <c r="T799" i="1"/>
  <c r="T798" i="1"/>
  <c r="T797" i="1"/>
  <c r="T796" i="1"/>
  <c r="T795" i="1"/>
  <c r="T794" i="1"/>
  <c r="T793" i="1"/>
  <c r="T792" i="1"/>
  <c r="T791" i="1"/>
  <c r="T790" i="1"/>
  <c r="T789" i="1"/>
  <c r="T788" i="1"/>
  <c r="T787" i="1"/>
  <c r="T786" i="1"/>
  <c r="T785" i="1"/>
  <c r="T784" i="1"/>
  <c r="T783" i="1"/>
  <c r="T782" i="1"/>
  <c r="T781" i="1"/>
  <c r="T780" i="1"/>
  <c r="T779" i="1"/>
  <c r="T778" i="1"/>
  <c r="T777" i="1"/>
  <c r="T776" i="1"/>
  <c r="T775" i="1"/>
  <c r="T774" i="1"/>
  <c r="T773" i="1"/>
  <c r="T772" i="1"/>
  <c r="T771" i="1"/>
  <c r="T770" i="1"/>
  <c r="T769" i="1"/>
  <c r="T768" i="1"/>
  <c r="T767" i="1"/>
  <c r="T766" i="1"/>
  <c r="T765" i="1"/>
  <c r="T764" i="1"/>
  <c r="T763" i="1"/>
  <c r="T762" i="1"/>
  <c r="T761" i="1"/>
  <c r="T760" i="1"/>
  <c r="T759" i="1"/>
  <c r="T758" i="1"/>
  <c r="T757" i="1"/>
  <c r="T756" i="1"/>
  <c r="T755" i="1"/>
  <c r="T754" i="1"/>
  <c r="T753" i="1"/>
  <c r="T752" i="1"/>
  <c r="T751" i="1"/>
  <c r="T750" i="1"/>
  <c r="T749" i="1"/>
  <c r="T748" i="1"/>
  <c r="T747" i="1"/>
  <c r="T746" i="1"/>
  <c r="T745" i="1"/>
  <c r="T744" i="1"/>
  <c r="T743" i="1"/>
  <c r="T742" i="1"/>
  <c r="T741" i="1"/>
  <c r="T740" i="1"/>
  <c r="T739" i="1"/>
  <c r="T738" i="1"/>
  <c r="T737" i="1"/>
  <c r="T736" i="1"/>
  <c r="T735" i="1"/>
  <c r="T734" i="1"/>
  <c r="T733" i="1"/>
  <c r="T732" i="1"/>
  <c r="T731" i="1"/>
  <c r="T730" i="1"/>
  <c r="T729" i="1"/>
  <c r="T728" i="1"/>
  <c r="T727" i="1"/>
  <c r="T726" i="1"/>
  <c r="T725" i="1"/>
  <c r="T724" i="1"/>
  <c r="T723" i="1"/>
  <c r="T722" i="1"/>
  <c r="T721" i="1"/>
  <c r="T720" i="1"/>
  <c r="T719" i="1"/>
  <c r="T718" i="1"/>
  <c r="T717" i="1"/>
  <c r="T716" i="1"/>
  <c r="T715" i="1"/>
  <c r="T714" i="1"/>
  <c r="T544" i="1"/>
  <c r="T543" i="1"/>
  <c r="T542" i="1"/>
  <c r="T541" i="1"/>
  <c r="T540" i="1"/>
  <c r="T539" i="1"/>
  <c r="T538" i="1"/>
  <c r="T537" i="1"/>
  <c r="T536" i="1"/>
  <c r="T535" i="1"/>
  <c r="T534" i="1"/>
  <c r="T533" i="1"/>
  <c r="T532" i="1"/>
  <c r="T531" i="1"/>
  <c r="T530" i="1"/>
  <c r="T529" i="1"/>
  <c r="T528" i="1"/>
  <c r="T527" i="1"/>
  <c r="T526" i="1"/>
  <c r="T525" i="1"/>
  <c r="T524" i="1"/>
  <c r="T523" i="1"/>
  <c r="T522" i="1"/>
  <c r="T521" i="1"/>
  <c r="T520" i="1"/>
  <c r="T519" i="1"/>
  <c r="T518" i="1"/>
  <c r="T517" i="1"/>
  <c r="T516" i="1"/>
  <c r="T515" i="1"/>
  <c r="T514" i="1"/>
  <c r="T513" i="1"/>
  <c r="T512" i="1"/>
  <c r="T511" i="1"/>
  <c r="T510" i="1"/>
  <c r="T509" i="1"/>
  <c r="T508" i="1"/>
  <c r="T507" i="1"/>
  <c r="T506" i="1"/>
  <c r="T505" i="1"/>
  <c r="T504" i="1"/>
  <c r="T503" i="1"/>
  <c r="T502" i="1"/>
  <c r="T501" i="1"/>
  <c r="T500" i="1"/>
  <c r="T499" i="1"/>
  <c r="T498" i="1"/>
  <c r="T497" i="1"/>
  <c r="T496" i="1"/>
  <c r="T495" i="1"/>
  <c r="T494" i="1"/>
</calcChain>
</file>

<file path=xl/sharedStrings.xml><?xml version="1.0" encoding="utf-8"?>
<sst xmlns="http://schemas.openxmlformats.org/spreadsheetml/2006/main" count="11526" uniqueCount="279">
  <si>
    <t>tow</t>
  </si>
  <si>
    <t>net</t>
  </si>
  <si>
    <t>sample_id</t>
  </si>
  <si>
    <t>site</t>
  </si>
  <si>
    <t>sample_date</t>
  </si>
  <si>
    <t>sorter</t>
  </si>
  <si>
    <t>split</t>
  </si>
  <si>
    <t>taxa</t>
  </si>
  <si>
    <t>dam</t>
  </si>
  <si>
    <t>CI-CIII</t>
  </si>
  <si>
    <t>CI-CV</t>
  </si>
  <si>
    <t>CI</t>
  </si>
  <si>
    <t>CII</t>
  </si>
  <si>
    <t>CIII</t>
  </si>
  <si>
    <t>CIV</t>
  </si>
  <si>
    <t>CV</t>
  </si>
  <si>
    <t>Female</t>
  </si>
  <si>
    <t>Male</t>
  </si>
  <si>
    <t>unstaged</t>
  </si>
  <si>
    <t>Total</t>
  </si>
  <si>
    <t>Meso/Macro</t>
  </si>
  <si>
    <t>Notes</t>
  </si>
  <si>
    <t>OB</t>
  </si>
  <si>
    <t>NH</t>
  </si>
  <si>
    <t>3/64</t>
  </si>
  <si>
    <t>Calanus finmarchicus</t>
  </si>
  <si>
    <t>Meso</t>
  </si>
  <si>
    <t>Calanus glacialis</t>
  </si>
  <si>
    <t>1/64</t>
  </si>
  <si>
    <t>Hyperia galba</t>
  </si>
  <si>
    <t>Copepoda</t>
  </si>
  <si>
    <t>Pseudocalanus spp.</t>
  </si>
  <si>
    <t>Centropages sp.</t>
  </si>
  <si>
    <t>Temora longicornis</t>
  </si>
  <si>
    <t>Metridia lucens</t>
  </si>
  <si>
    <t>Acartia tonsa</t>
  </si>
  <si>
    <t>rami are as long as wide ; one large spine on corners of last metasome segment</t>
  </si>
  <si>
    <t>Paracalanus spp.</t>
  </si>
  <si>
    <t>Centropages typicus</t>
  </si>
  <si>
    <t>Centropages hamatus</t>
  </si>
  <si>
    <t>Cirripedia (nauplius)</t>
  </si>
  <si>
    <t>Bryozoa (larva)</t>
  </si>
  <si>
    <t>Gastropoda (larva)</t>
  </si>
  <si>
    <t>Microcalanus spp.</t>
  </si>
  <si>
    <t>Acartia sp.</t>
  </si>
  <si>
    <t>Oithona sp.</t>
  </si>
  <si>
    <t>Oithona similis</t>
  </si>
  <si>
    <t>1/8</t>
  </si>
  <si>
    <t>3/512</t>
  </si>
  <si>
    <t>Bivalvia (larva)</t>
  </si>
  <si>
    <t>Polychaeta (larva)</t>
  </si>
  <si>
    <t>Copepoda (nauplius)</t>
  </si>
  <si>
    <t>1/1</t>
  </si>
  <si>
    <t>Macro</t>
  </si>
  <si>
    <t>1/256</t>
  </si>
  <si>
    <t>Crustacea (larva)</t>
  </si>
  <si>
    <t>Evadne nordmanni</t>
  </si>
  <si>
    <t>Pleopis polyphemoides</t>
  </si>
  <si>
    <t>GMB</t>
  </si>
  <si>
    <t xml:space="preserve">Calanus hyperboreus </t>
  </si>
  <si>
    <t>Siphonophora</t>
  </si>
  <si>
    <t>Physonectae</t>
  </si>
  <si>
    <t>Metridia longa</t>
  </si>
  <si>
    <t>Paraeuchaeta sp.</t>
  </si>
  <si>
    <t>Parasagitta elegans</t>
  </si>
  <si>
    <t>Ctenophora</t>
  </si>
  <si>
    <t>Metridia sp.</t>
  </si>
  <si>
    <t>Paraeuchaeta norvegica</t>
  </si>
  <si>
    <t>1/16</t>
  </si>
  <si>
    <t>Calanus sp.</t>
  </si>
  <si>
    <t>rami 1.5X longer than wide ; outer setae 1/2 way down (maybe a little farther)</t>
  </si>
  <si>
    <t>Acartia hudsonica</t>
  </si>
  <si>
    <t>3/16</t>
  </si>
  <si>
    <t>1/128</t>
  </si>
  <si>
    <t>Oithona atlantica</t>
  </si>
  <si>
    <t>5/256</t>
  </si>
  <si>
    <t>1/1028</t>
  </si>
  <si>
    <t>3/256</t>
  </si>
  <si>
    <t>Pleuromamma robusta</t>
  </si>
  <si>
    <t>Ostracoda</t>
  </si>
  <si>
    <t>3/128</t>
  </si>
  <si>
    <t>Clausocalanus spp.</t>
  </si>
  <si>
    <t xml:space="preserve">Tomopteris spp. </t>
  </si>
  <si>
    <t>5/32</t>
  </si>
  <si>
    <r>
      <t xml:space="preserve">5th leg like </t>
    </r>
    <r>
      <rPr>
        <i/>
        <sz val="12"/>
        <color theme="1"/>
        <rFont val="Calibri"/>
        <family val="2"/>
        <scheme val="minor"/>
      </rPr>
      <t xml:space="preserve">A. longiremis </t>
    </r>
    <r>
      <rPr>
        <sz val="12"/>
        <color theme="1"/>
        <rFont val="Calibri"/>
        <family val="2"/>
        <scheme val="minor"/>
      </rPr>
      <t>; 1 big spine on last metasome (dorsolateral) ; urosome only slight longer than width</t>
    </r>
  </si>
  <si>
    <t>1/2048</t>
  </si>
  <si>
    <t>Trachymedusae</t>
  </si>
  <si>
    <t>1/32</t>
  </si>
  <si>
    <t>5/128</t>
  </si>
  <si>
    <t>Hydrozoa</t>
  </si>
  <si>
    <t>1/512</t>
  </si>
  <si>
    <t>Was much larger than M. lucens!</t>
  </si>
  <si>
    <t>Big mass of bracts</t>
  </si>
  <si>
    <t>8 radial canals ; gonads on radial canals ; bell-shaped</t>
  </si>
  <si>
    <t>Not weighed</t>
  </si>
  <si>
    <t>Very tiny female (2.20mm)</t>
  </si>
  <si>
    <t>Hydrozoa was just a bunch of tentacles, no species can be ID'd without umbrella.</t>
  </si>
  <si>
    <t>5/64</t>
  </si>
  <si>
    <t>Acartia longiremis</t>
  </si>
  <si>
    <t>3/2048</t>
  </si>
  <si>
    <t>Chaetognatha</t>
  </si>
  <si>
    <t>5/16</t>
  </si>
  <si>
    <t>1/4</t>
  </si>
  <si>
    <t>Very few Calanus so I stopped pulling at lower split.</t>
  </si>
  <si>
    <t>5/4096</t>
  </si>
  <si>
    <t>Weight (g)</t>
  </si>
  <si>
    <t>stage</t>
  </si>
  <si>
    <t>length</t>
  </si>
  <si>
    <t>width</t>
  </si>
  <si>
    <t>AF</t>
  </si>
  <si>
    <t>Bracts</t>
  </si>
  <si>
    <t>2021-07-28_CV_CalanusFinmarchicus_0.6X</t>
  </si>
  <si>
    <t>2021-07-28_CV_CalanusFinmarchicus_1X(1)</t>
  </si>
  <si>
    <t>2021-07-28_CV_CalanusFinmarchicus_1X(2)</t>
  </si>
  <si>
    <t>2021-07-28_CV_CalanusFinmarchicus_1X(3)</t>
  </si>
  <si>
    <t>2021-07-28_CV_CalanusFinmarchicus_1X(4)</t>
  </si>
  <si>
    <t>2021-07-28_CV_CalanusFinmarchicus_1X(5)</t>
  </si>
  <si>
    <t>2021-07-28_CV_CalanusGlacialis_3x</t>
  </si>
  <si>
    <t>2021-07-28_CV_CalanusFinmarchicus_1X(6)</t>
  </si>
  <si>
    <t>very small for CV - double check literature</t>
  </si>
  <si>
    <t>2021-07-28_CV_CalanusFinmarchicus_1X(7)</t>
  </si>
  <si>
    <t>2021-07-28_CV_CalanusGlacialis_3X(2)</t>
  </si>
  <si>
    <t>2021-07-28_CIV_CalanusHyperboreus_3X</t>
  </si>
  <si>
    <t>2021-07-28_CIV_CalanusFinmarchicus_1X</t>
  </si>
  <si>
    <t>Fe</t>
  </si>
  <si>
    <t>2021-07-28_Fe_CalanusFinmarchicus_1X</t>
  </si>
  <si>
    <t>n/a</t>
  </si>
  <si>
    <t>2021-07-30_Physonectae_0.6X</t>
  </si>
  <si>
    <t>2021-07-30_Hydrozoa_1X</t>
  </si>
  <si>
    <t>no gas bladder, just jellies</t>
  </si>
  <si>
    <t>2021-07-30_SiphonophoraBRACTS_1X</t>
  </si>
  <si>
    <t>bracts</t>
  </si>
  <si>
    <t>2021-07-30_SiphonophoraNECTOPHORES_1X(1)</t>
  </si>
  <si>
    <t>nectophores</t>
  </si>
  <si>
    <t>2021-07-30_SiphonophoraNECTOPHORES_0.6X(1)</t>
  </si>
  <si>
    <t>2021-07-30_SiphonophoraNECTOPHORES_0.6X(2)</t>
  </si>
  <si>
    <t>2021-07-30_SiphonophoraNECTOPHORES_0.6X(3)</t>
  </si>
  <si>
    <t>2021-07-30_CalanusFinmarchicusCV_1/1wholesample_1X</t>
  </si>
  <si>
    <t>2021-07-30_SiphonophoraBRACTS&amp;NECTOPHORES_1/1wholesample_0.6X</t>
  </si>
  <si>
    <t>bract</t>
  </si>
  <si>
    <t>nectophore</t>
  </si>
  <si>
    <t>Meganyctiphanes norvegica</t>
  </si>
  <si>
    <t>Siphonophora (bract)</t>
  </si>
  <si>
    <t>macro</t>
  </si>
  <si>
    <t>meso</t>
  </si>
  <si>
    <t>3/32</t>
  </si>
  <si>
    <t>5/2048</t>
  </si>
  <si>
    <t xml:space="preserve">Accidently pulled this as Calanus originally which is why it is in the Calanus split. </t>
  </si>
  <si>
    <t>No pneumatohpores in this sample.</t>
  </si>
  <si>
    <t>5/1024</t>
  </si>
  <si>
    <t>Eurytemora herdmani</t>
  </si>
  <si>
    <t>Only 4 Calanus in zoo split and very few observed in pneumatophore check so I did not continue pullinhg. No pneumatophores in this sample.</t>
  </si>
  <si>
    <t>Only 3 Calanus in zoo split and very few seen during pneumatophore check so I stopped pulling here. No pneumatophores in this sample.</t>
  </si>
  <si>
    <t>Polychaeta</t>
  </si>
  <si>
    <t xml:space="preserve">Only 5 Calanus in zoo split and I would have to sort a large portion of sample to hit 75 so I did not continue pulling. No pneumatophores in this sample. </t>
  </si>
  <si>
    <t>3/1024</t>
  </si>
  <si>
    <t>Not weighed - lost 5th leg :(</t>
  </si>
  <si>
    <t>Rami length has been unreliable &amp; 5th leg is not yet fully developed. So I left as Acartia sp.</t>
  </si>
  <si>
    <t>No Calanus in sorted splits. Scan through other beakers revealed only 1 individual, so I did not continue to sort/pull. Vials checked by DM for pneumatophores, none found.</t>
  </si>
  <si>
    <t xml:space="preserve">Only 7 Calanus in a /64 split. I would have to sort a huge portion of the sample to hit 75, so I stopped pulling here. </t>
  </si>
  <si>
    <t>No metasome spines ; rami length 2x the width</t>
  </si>
  <si>
    <t>Bryozoa</t>
  </si>
  <si>
    <t>1/1024</t>
  </si>
  <si>
    <t>Egg</t>
  </si>
  <si>
    <t>Hyperiidae (juv)</t>
  </si>
  <si>
    <t>Siphonophora (colony)</t>
  </si>
  <si>
    <t>Meso and macro vial checked by DM ; full sample swireled, no pneumatohpores seen with naked eye, assuming macro split of 1/1 for pneumatophore count</t>
  </si>
  <si>
    <t>macro vial checked, no siphonophora at all ; meso vial checked, no pneumatophores</t>
  </si>
  <si>
    <t>meso vial checked, no pneumatophores ; Calanus vial checked, no siphonophores at all</t>
  </si>
  <si>
    <t>7/32</t>
  </si>
  <si>
    <t>macro, meso, and Calanus vials checked, no siphonophoress at all</t>
  </si>
  <si>
    <t>not weighed</t>
  </si>
  <si>
    <t>one nectophore and one small bundle with a few nectophores, bracts plus the pneumatophore</t>
  </si>
  <si>
    <t>Meso and Calanus vials checked, no pneumatophores</t>
  </si>
  <si>
    <t>body length is 0.5mm ; P5 is asymmetrical and extends beyond urosome ; male ' weird combination of characters from Para, Clauso, and Micro</t>
  </si>
  <si>
    <t>bundles of bracts and cormidia</t>
  </si>
  <si>
    <t>9/2048</t>
  </si>
  <si>
    <t>1 bundle with bracts, 1 nectophore, no pneumatophores</t>
  </si>
  <si>
    <t>5/512</t>
  </si>
  <si>
    <t>After 5/512 split, I kept going until 1/16 and only found 9 individuals. I decided to stop pulling, as I would have to sort half the sample to hit 75 ; one egg in this sample, not sure of species</t>
  </si>
  <si>
    <t>Siphonophora (pneumatophore)</t>
  </si>
  <si>
    <t>I scanned the whole sample but the siphonophore was found in a 1/64 beaker.</t>
  </si>
  <si>
    <t>No Calanus in zoo split. A pass over of another 1/64 showed only 2 individuals, so I did not keep pulling for Calanus.</t>
  </si>
  <si>
    <t>No pneumatophores. No Calanus in zoo split and during pneumatophore check, I saw very few individuals so I did not keep pulling for Calanus.</t>
  </si>
  <si>
    <t>no metasome spines ; rami length slightly longer than 2X the width</t>
  </si>
  <si>
    <t>No pneumatophores in this sample.</t>
  </si>
  <si>
    <t>Calanus hyperboreus</t>
  </si>
  <si>
    <t>7/512</t>
  </si>
  <si>
    <t>Only 4 Calanus individuals in zoo split. I would have to sort a 1/4 sample to hit 75 individuals so I did not continue pulling for Calanus. ; No pneumatophores</t>
  </si>
  <si>
    <t>No pneumatophores ; No Calanus in zoo split and pneumatophore check revealed very few individuals so I did not keep pulling for Calanus.</t>
  </si>
  <si>
    <t>No pneumatophores. No Calanus in zoo split and very few observed during pneumatophore check, so I did not continue pulling for Calanus.</t>
  </si>
  <si>
    <t>Don't know what taxa the Egg belong to.</t>
  </si>
  <si>
    <t>Siphonophora (nectophore)</t>
  </si>
  <si>
    <t>3/64 + 1/64</t>
  </si>
  <si>
    <t>notes</t>
  </si>
  <si>
    <t>Calanus and zoo split not separated for meso weight</t>
  </si>
  <si>
    <t>1/8 + 3/50</t>
  </si>
  <si>
    <t>1/1 + 1/64</t>
  </si>
  <si>
    <t>Meso not separated for meso weight</t>
  </si>
  <si>
    <t>I had three macro individuals of different species in two different splits. I weighed them separately but I'm not sure which species were in which weight, as my goal was to add them altogether in the end.</t>
  </si>
  <si>
    <t>1/64 OR 1/1</t>
  </si>
  <si>
    <t>1/16 + 1/64</t>
  </si>
  <si>
    <t>3/16 + 1/128</t>
  </si>
  <si>
    <t>5/256 + 1/1028</t>
  </si>
  <si>
    <t>Including pneumatophore</t>
  </si>
  <si>
    <t>1/128 + 3/128</t>
  </si>
  <si>
    <t>1/8 + 1/128</t>
  </si>
  <si>
    <t>5/32 + 3/512</t>
  </si>
  <si>
    <t>1/1 OR 1/256</t>
  </si>
  <si>
    <t>this is Ctenophora alone</t>
  </si>
  <si>
    <t>1/1 OR1/256 + 1/28</t>
  </si>
  <si>
    <t>1/32 + 1/128</t>
  </si>
  <si>
    <t>1/1 + 1/128</t>
  </si>
  <si>
    <t>1/1 + 5/128 + 1/64</t>
  </si>
  <si>
    <t>1/32 + 1/512</t>
  </si>
  <si>
    <t>1/128 + 1/1</t>
  </si>
  <si>
    <t>1/8 + 1/64</t>
  </si>
  <si>
    <t>1/16 + 1/256</t>
  </si>
  <si>
    <t>1/16 + 1/32</t>
  </si>
  <si>
    <t>1/256 + 1/1</t>
  </si>
  <si>
    <t>No Calanus found in zoo split and none seen in remainder of sample so I did not continue pulling. No pneumatophores.</t>
  </si>
  <si>
    <t>No pneumatophores.</t>
  </si>
  <si>
    <t>Seems to be a crustacean egg</t>
  </si>
  <si>
    <t>Cirripedia (larva)</t>
  </si>
  <si>
    <t>Very few Calanus so I pulled to 1/16 and then stopped. No pneumatophores.</t>
  </si>
  <si>
    <t>Very few Calanus so I pulled to 1/64 and then stopped. No pneumatophores.</t>
  </si>
  <si>
    <t>Calanus weight was so low that it did not register on the scale</t>
  </si>
  <si>
    <t>No pneumatophores. 1/64 checked for Calanus but none seen. Only a couple seen during pneumatophore check, so no more pulling for Calanus.</t>
  </si>
  <si>
    <t>I think this is a crustacean egg.</t>
  </si>
  <si>
    <t xml:space="preserve">Only 1 Calanus in zoo split. Finished row I was working in but did not continue. No pneumatophores. </t>
  </si>
  <si>
    <t>Thysanoessa longicaudata</t>
  </si>
  <si>
    <t>No Calanus in zoo split. Finished sorting row of splits (1/64 total) and no more found.</t>
  </si>
  <si>
    <t>They look like crustacean eggs.</t>
  </si>
  <si>
    <t>Caligidae</t>
  </si>
  <si>
    <t>So small weight would not register</t>
  </si>
  <si>
    <t>Crustacea</t>
  </si>
  <si>
    <t>Calanus weight did not register</t>
  </si>
  <si>
    <t>Low Calanus in zoo split; finished my row and then did not continue.</t>
  </si>
  <si>
    <t>Pasiphaea multidentata</t>
  </si>
  <si>
    <t>4 are small colony/bundle with pneumatophore and one is only a pneumatophore</t>
  </si>
  <si>
    <t>First of the 1/4 beakers with count of 2</t>
  </si>
  <si>
    <t xml:space="preserve">I believe these are all the same species. 2 intact, and many other bits of tissue that I am counting as one individual. Of the two intact, there were 8 radial canals but no manibrium or gonads. Either Antho-, Lepto-, or Trachy- medusae. </t>
  </si>
  <si>
    <t>Either Lepto-, Antho-, or Trachy- medusae</t>
  </si>
  <si>
    <t>pneumatophore</t>
  </si>
  <si>
    <t>Thysanoessa inermis</t>
  </si>
  <si>
    <t>Podon sp.</t>
  </si>
  <si>
    <t xml:space="preserve">Wasn't weighed with rest of mesofaunca because I wanted to keep it as a voucher. This is such a small species that it would not register on the scale alone. </t>
  </si>
  <si>
    <t>weight did not register</t>
  </si>
  <si>
    <t>Idotea balthica</t>
  </si>
  <si>
    <t>Diastylis sp.</t>
  </si>
  <si>
    <t>Caridea (zooea)</t>
  </si>
  <si>
    <t>1/32 + 3/2048</t>
  </si>
  <si>
    <t>HHP</t>
  </si>
  <si>
    <t>Temoridae</t>
  </si>
  <si>
    <t>Eurytemora sp.</t>
  </si>
  <si>
    <t>Counted row of 1/256 splits as zoo split. Very low Calanus so did not continue pulling. No pneumatohores.</t>
  </si>
  <si>
    <t>Leptocherius pinguis</t>
  </si>
  <si>
    <t>Mytilus sp.</t>
  </si>
  <si>
    <t>Very low Calanus, finished counting row of splits and then stopped.</t>
  </si>
  <si>
    <t xml:space="preserve">Very few Calanus in zoo split. Finished counting row of splits then stopped pulling. </t>
  </si>
  <si>
    <t>1/64 + 1/128</t>
  </si>
  <si>
    <t>5/16+3/512</t>
  </si>
  <si>
    <t>1/4+1/256</t>
  </si>
  <si>
    <t>Counts are separated into many vials with different stages, etc. If we cannot extrapolate weights from other samples, I will go back and weigh the individual vials.</t>
  </si>
  <si>
    <t>Microsetella norvegica did not register after IDing</t>
  </si>
  <si>
    <t>Thysanoessa sp.</t>
  </si>
  <si>
    <t>not weighed - splits is combined, weights useless</t>
  </si>
  <si>
    <t>Mesoplankton larva</t>
  </si>
  <si>
    <t>meso and macro</t>
  </si>
  <si>
    <t>splits are combined, so useless to weigh</t>
  </si>
  <si>
    <t>Microsetella norvegica</t>
  </si>
  <si>
    <t>Caridea (larva)</t>
  </si>
  <si>
    <t>Calliopius laeviusculus</t>
  </si>
  <si>
    <t>Euphausiidae (larva)</t>
  </si>
  <si>
    <t>Physonectae (nectophore)</t>
  </si>
  <si>
    <t>Found in a single beaker during pneumatophore check. Fraction uncertain</t>
  </si>
  <si>
    <t>Fraction uncertain</t>
  </si>
  <si>
    <t>Found in a single 1/64 beaker. Fraction uncertain</t>
  </si>
  <si>
    <t>Diplostraca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</si>
</sst>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1" xfId="0" applyFill="1" applyBorder="1"/>
    <xf numFmtId="49" fontId="0" fillId="2" borderId="1" xfId="0" applyNumberFormat="1" applyFill="1" applyBorder="1"/>
    <xf numFmtId="49" fontId="0" fillId="0" borderId="0" xfId="0" applyNumberFormat="1"/>
    <xf numFmtId="0" fontId="0" fillId="0" borderId="0" xfId="0" applyAlignment="1">
      <alignment vertical="center"/>
    </xf>
    <xf numFmtId="0" fontId="0" fillId="0" borderId="2" xfId="0" applyBorder="1"/>
    <xf numFmtId="49" fontId="0" fillId="0" borderId="2" xfId="0" applyNumberFormat="1" applyBorder="1"/>
    <xf numFmtId="0" fontId="0" fillId="3" borderId="0" xfId="0" applyFill="1"/>
    <xf numFmtId="0" fontId="0" fillId="3" borderId="0" xfId="0" applyFill="1" applyAlignment="1">
      <alignment vertical="center"/>
    </xf>
    <xf numFmtId="49" fontId="0" fillId="3" borderId="0" xfId="0" applyNumberFormat="1" applyFill="1"/>
    <xf numFmtId="15" fontId="0" fillId="0" borderId="0" xfId="0" applyNumberFormat="1"/>
    <xf numFmtId="15" fontId="0" fillId="0" borderId="2" xfId="0" applyNumberFormat="1" applyBorder="1"/>
    <xf numFmtId="0" fontId="3" fillId="0" borderId="2" xfId="0" applyFont="1" applyBorder="1"/>
    <xf numFmtId="0" fontId="3" fillId="0" borderId="0" xfId="0" applyFont="1"/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/>
    <xf numFmtId="0" fontId="0" fillId="2" borderId="2" xfId="0" applyFill="1" applyBorder="1"/>
    <xf numFmtId="0" fontId="0" fillId="2" borderId="2" xfId="0" applyFill="1" applyBorder="1" applyAlignment="1">
      <alignment wrapText="1"/>
    </xf>
    <xf numFmtId="0" fontId="3" fillId="2" borderId="2" xfId="0" applyFont="1" applyFill="1" applyBorder="1"/>
    <xf numFmtId="0" fontId="4" fillId="0" borderId="0" xfId="0" applyFont="1"/>
    <xf numFmtId="15" fontId="4" fillId="0" borderId="0" xfId="0" applyNumberFormat="1" applyFont="1"/>
    <xf numFmtId="16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AF2C8-4E25-0842-847F-3F57901143EE}">
  <dimension ref="A1:V1783"/>
  <sheetViews>
    <sheetView topLeftCell="D1" zoomScale="130" zoomScaleNormal="130" workbookViewId="0">
      <pane ySplit="1" topLeftCell="A356" activePane="bottomLeft" state="frozen"/>
      <selection pane="bottomLeft" activeCell="K364" sqref="K364"/>
    </sheetView>
  </sheetViews>
  <sheetFormatPr defaultColWidth="10.796875" defaultRowHeight="15.6" x14ac:dyDescent="0.3"/>
  <cols>
    <col min="1" max="1" width="4.296875" bestFit="1" customWidth="1"/>
    <col min="2" max="2" width="3.796875" bestFit="1" customWidth="1"/>
    <col min="4" max="4" width="5.296875" bestFit="1" customWidth="1"/>
    <col min="5" max="5" width="11.5" bestFit="1" customWidth="1"/>
    <col min="6" max="6" width="6.19921875" bestFit="1" customWidth="1"/>
    <col min="7" max="7" width="11.69921875" bestFit="1" customWidth="1"/>
    <col min="8" max="8" width="29.19921875" bestFit="1" customWidth="1"/>
    <col min="10" max="11" width="11.796875" customWidth="1"/>
    <col min="20" max="20" width="10.796875" style="13"/>
    <col min="21" max="21" width="11.69921875" bestFit="1" customWidth="1"/>
    <col min="22" max="22" width="65.19921875" style="15" customWidth="1"/>
  </cols>
  <sheetData>
    <row r="1" spans="1:22" s="17" customFormat="1" ht="33" customHeight="1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8" t="s">
        <v>9</v>
      </c>
      <c r="K1" s="18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9" t="s">
        <v>19</v>
      </c>
      <c r="U1" s="17" t="s">
        <v>20</v>
      </c>
      <c r="V1" s="18" t="s">
        <v>21</v>
      </c>
    </row>
    <row r="2" spans="1:22" x14ac:dyDescent="0.3">
      <c r="A2">
        <v>3</v>
      </c>
      <c r="B2">
        <v>1</v>
      </c>
      <c r="C2">
        <v>207487</v>
      </c>
      <c r="D2" t="s">
        <v>252</v>
      </c>
      <c r="E2" s="10">
        <v>44085</v>
      </c>
      <c r="F2" t="s">
        <v>23</v>
      </c>
      <c r="G2" s="3" t="s">
        <v>52</v>
      </c>
      <c r="H2" t="s">
        <v>244</v>
      </c>
      <c r="S2">
        <v>2</v>
      </c>
      <c r="T2" s="13">
        <f>SUM(I2:S2)</f>
        <v>2</v>
      </c>
      <c r="U2" t="s">
        <v>143</v>
      </c>
    </row>
    <row r="3" spans="1:22" x14ac:dyDescent="0.3">
      <c r="A3">
        <v>3</v>
      </c>
      <c r="B3">
        <v>1</v>
      </c>
      <c r="C3">
        <v>207487</v>
      </c>
      <c r="D3" t="s">
        <v>252</v>
      </c>
      <c r="E3" s="10">
        <v>44085</v>
      </c>
      <c r="F3" t="s">
        <v>23</v>
      </c>
      <c r="G3" s="3" t="s">
        <v>52</v>
      </c>
      <c r="H3" t="s">
        <v>64</v>
      </c>
      <c r="S3">
        <v>3</v>
      </c>
      <c r="T3" s="13">
        <f t="shared" ref="T3:T66" si="0">SUM(I3:S3)</f>
        <v>3</v>
      </c>
      <c r="U3" t="s">
        <v>143</v>
      </c>
    </row>
    <row r="4" spans="1:22" ht="31.2" x14ac:dyDescent="0.3">
      <c r="A4">
        <v>3</v>
      </c>
      <c r="B4">
        <v>1</v>
      </c>
      <c r="C4">
        <v>207487</v>
      </c>
      <c r="D4" t="s">
        <v>252</v>
      </c>
      <c r="E4" s="10">
        <v>44085</v>
      </c>
      <c r="F4" t="s">
        <v>23</v>
      </c>
      <c r="G4" s="3" t="s">
        <v>28</v>
      </c>
      <c r="H4" t="s">
        <v>25</v>
      </c>
      <c r="L4">
        <v>1</v>
      </c>
      <c r="M4">
        <v>1</v>
      </c>
      <c r="O4">
        <v>1</v>
      </c>
      <c r="P4">
        <v>12</v>
      </c>
      <c r="T4" s="13">
        <f t="shared" si="0"/>
        <v>15</v>
      </c>
      <c r="U4" t="s">
        <v>144</v>
      </c>
      <c r="V4" s="15" t="s">
        <v>255</v>
      </c>
    </row>
    <row r="5" spans="1:22" x14ac:dyDescent="0.3">
      <c r="A5">
        <v>3</v>
      </c>
      <c r="B5">
        <v>1</v>
      </c>
      <c r="C5">
        <v>207487</v>
      </c>
      <c r="D5" t="s">
        <v>252</v>
      </c>
      <c r="E5" s="10">
        <v>44085</v>
      </c>
      <c r="F5" t="s">
        <v>23</v>
      </c>
      <c r="G5" s="3" t="s">
        <v>28</v>
      </c>
      <c r="H5" t="s">
        <v>253</v>
      </c>
      <c r="J5">
        <v>14</v>
      </c>
      <c r="O5">
        <v>18</v>
      </c>
      <c r="T5" s="13">
        <f t="shared" si="0"/>
        <v>32</v>
      </c>
      <c r="U5" t="s">
        <v>144</v>
      </c>
    </row>
    <row r="6" spans="1:22" x14ac:dyDescent="0.3">
      <c r="A6">
        <v>3</v>
      </c>
      <c r="B6">
        <v>1</v>
      </c>
      <c r="C6">
        <v>207487</v>
      </c>
      <c r="D6" t="s">
        <v>252</v>
      </c>
      <c r="E6" s="10">
        <v>44085</v>
      </c>
      <c r="F6" t="s">
        <v>23</v>
      </c>
      <c r="G6" s="3" t="s">
        <v>28</v>
      </c>
      <c r="H6" t="s">
        <v>233</v>
      </c>
      <c r="K6">
        <v>1</v>
      </c>
      <c r="T6" s="13">
        <f t="shared" si="0"/>
        <v>1</v>
      </c>
      <c r="U6" t="s">
        <v>144</v>
      </c>
    </row>
    <row r="7" spans="1:22" x14ac:dyDescent="0.3">
      <c r="A7">
        <v>3</v>
      </c>
      <c r="B7">
        <v>1</v>
      </c>
      <c r="C7">
        <v>207487</v>
      </c>
      <c r="D7" t="s">
        <v>252</v>
      </c>
      <c r="E7" s="10">
        <v>44085</v>
      </c>
      <c r="F7" t="s">
        <v>23</v>
      </c>
      <c r="G7" s="3" t="s">
        <v>28</v>
      </c>
      <c r="H7" t="s">
        <v>150</v>
      </c>
      <c r="Q7">
        <v>1</v>
      </c>
      <c r="R7">
        <v>4</v>
      </c>
      <c r="T7" s="13">
        <f t="shared" si="0"/>
        <v>5</v>
      </c>
      <c r="U7" t="s">
        <v>144</v>
      </c>
    </row>
    <row r="8" spans="1:22" x14ac:dyDescent="0.3">
      <c r="A8">
        <v>3</v>
      </c>
      <c r="B8">
        <v>1</v>
      </c>
      <c r="C8">
        <v>207487</v>
      </c>
      <c r="D8" t="s">
        <v>252</v>
      </c>
      <c r="E8" s="10">
        <v>44085</v>
      </c>
      <c r="F8" t="s">
        <v>23</v>
      </c>
      <c r="G8" s="3" t="s">
        <v>28</v>
      </c>
      <c r="H8" t="s">
        <v>33</v>
      </c>
      <c r="P8">
        <v>6</v>
      </c>
      <c r="Q8">
        <v>5</v>
      </c>
      <c r="R8">
        <v>2</v>
      </c>
      <c r="T8" s="13">
        <f t="shared" si="0"/>
        <v>13</v>
      </c>
      <c r="U8" t="s">
        <v>144</v>
      </c>
    </row>
    <row r="9" spans="1:22" x14ac:dyDescent="0.3">
      <c r="A9">
        <v>3</v>
      </c>
      <c r="B9">
        <v>1</v>
      </c>
      <c r="C9">
        <v>207487</v>
      </c>
      <c r="D9" t="s">
        <v>252</v>
      </c>
      <c r="E9" s="10">
        <v>44085</v>
      </c>
      <c r="F9" t="s">
        <v>23</v>
      </c>
      <c r="G9" s="3" t="s">
        <v>28</v>
      </c>
      <c r="H9" t="s">
        <v>254</v>
      </c>
      <c r="P9">
        <v>2</v>
      </c>
      <c r="T9" s="13">
        <f t="shared" si="0"/>
        <v>2</v>
      </c>
      <c r="U9" t="s">
        <v>144</v>
      </c>
    </row>
    <row r="10" spans="1:22" x14ac:dyDescent="0.3">
      <c r="A10">
        <v>3</v>
      </c>
      <c r="B10">
        <v>1</v>
      </c>
      <c r="C10">
        <v>207487</v>
      </c>
      <c r="D10" t="s">
        <v>252</v>
      </c>
      <c r="E10" s="10">
        <v>44085</v>
      </c>
      <c r="F10" t="s">
        <v>23</v>
      </c>
      <c r="G10" s="3" t="s">
        <v>28</v>
      </c>
      <c r="H10" t="s">
        <v>71</v>
      </c>
      <c r="Q10">
        <v>9</v>
      </c>
      <c r="R10">
        <v>16</v>
      </c>
      <c r="T10" s="13">
        <f t="shared" si="0"/>
        <v>25</v>
      </c>
      <c r="U10" t="s">
        <v>144</v>
      </c>
    </row>
    <row r="11" spans="1:22" x14ac:dyDescent="0.3">
      <c r="A11">
        <v>3</v>
      </c>
      <c r="B11">
        <v>1</v>
      </c>
      <c r="C11">
        <v>207487</v>
      </c>
      <c r="D11" t="s">
        <v>252</v>
      </c>
      <c r="E11" s="10">
        <v>44085</v>
      </c>
      <c r="F11" t="s">
        <v>23</v>
      </c>
      <c r="G11" s="3" t="s">
        <v>28</v>
      </c>
      <c r="H11" t="s">
        <v>98</v>
      </c>
      <c r="Q11">
        <v>4</v>
      </c>
      <c r="T11" s="13">
        <f t="shared" si="0"/>
        <v>4</v>
      </c>
      <c r="U11" t="s">
        <v>144</v>
      </c>
    </row>
    <row r="12" spans="1:22" x14ac:dyDescent="0.3">
      <c r="A12">
        <v>3</v>
      </c>
      <c r="B12">
        <v>1</v>
      </c>
      <c r="C12">
        <v>207487</v>
      </c>
      <c r="D12" t="s">
        <v>252</v>
      </c>
      <c r="E12" s="10">
        <v>44085</v>
      </c>
      <c r="F12" t="s">
        <v>23</v>
      </c>
      <c r="G12" s="3" t="s">
        <v>28</v>
      </c>
      <c r="H12" t="s">
        <v>44</v>
      </c>
      <c r="J12">
        <v>7</v>
      </c>
      <c r="O12">
        <v>1</v>
      </c>
      <c r="P12">
        <v>3</v>
      </c>
      <c r="T12" s="13">
        <f t="shared" si="0"/>
        <v>11</v>
      </c>
      <c r="U12" t="s">
        <v>144</v>
      </c>
    </row>
    <row r="13" spans="1:22" x14ac:dyDescent="0.3">
      <c r="A13">
        <v>3</v>
      </c>
      <c r="B13">
        <v>1</v>
      </c>
      <c r="C13">
        <v>207487</v>
      </c>
      <c r="D13" t="s">
        <v>252</v>
      </c>
      <c r="E13" s="10">
        <v>44085</v>
      </c>
      <c r="F13" t="s">
        <v>23</v>
      </c>
      <c r="G13" s="3" t="s">
        <v>28</v>
      </c>
      <c r="H13" t="s">
        <v>30</v>
      </c>
      <c r="I13">
        <v>23</v>
      </c>
      <c r="J13">
        <v>7</v>
      </c>
      <c r="T13" s="13">
        <f t="shared" si="0"/>
        <v>30</v>
      </c>
      <c r="U13" t="s">
        <v>144</v>
      </c>
    </row>
    <row r="14" spans="1:22" x14ac:dyDescent="0.3">
      <c r="A14">
        <v>3</v>
      </c>
      <c r="B14">
        <v>1</v>
      </c>
      <c r="C14">
        <v>207487</v>
      </c>
      <c r="D14" t="s">
        <v>252</v>
      </c>
      <c r="E14" s="10">
        <v>44085</v>
      </c>
      <c r="F14" t="s">
        <v>23</v>
      </c>
      <c r="G14" s="3" t="s">
        <v>28</v>
      </c>
      <c r="H14" t="s">
        <v>32</v>
      </c>
      <c r="O14">
        <v>4</v>
      </c>
      <c r="T14" s="13">
        <f t="shared" si="0"/>
        <v>4</v>
      </c>
      <c r="U14" t="s">
        <v>144</v>
      </c>
    </row>
    <row r="15" spans="1:22" x14ac:dyDescent="0.3">
      <c r="A15">
        <v>3</v>
      </c>
      <c r="B15">
        <v>1</v>
      </c>
      <c r="C15">
        <v>207487</v>
      </c>
      <c r="D15" t="s">
        <v>252</v>
      </c>
      <c r="E15" s="10">
        <v>44085</v>
      </c>
      <c r="F15" t="s">
        <v>23</v>
      </c>
      <c r="G15" s="3" t="s">
        <v>28</v>
      </c>
      <c r="H15" t="s">
        <v>37</v>
      </c>
      <c r="O15">
        <v>6</v>
      </c>
      <c r="T15" s="13">
        <f t="shared" si="0"/>
        <v>6</v>
      </c>
      <c r="U15" t="s">
        <v>144</v>
      </c>
    </row>
    <row r="16" spans="1:22" x14ac:dyDescent="0.3">
      <c r="A16">
        <v>3</v>
      </c>
      <c r="B16">
        <v>1</v>
      </c>
      <c r="C16">
        <v>207487</v>
      </c>
      <c r="D16" t="s">
        <v>252</v>
      </c>
      <c r="E16" s="10">
        <v>44085</v>
      </c>
      <c r="F16" t="s">
        <v>23</v>
      </c>
      <c r="G16" s="3" t="s">
        <v>28</v>
      </c>
      <c r="H16" t="s">
        <v>31</v>
      </c>
      <c r="O16">
        <v>1</v>
      </c>
      <c r="P16">
        <v>9</v>
      </c>
      <c r="Q16">
        <v>16</v>
      </c>
      <c r="R16">
        <v>7</v>
      </c>
      <c r="T16" s="13">
        <f t="shared" si="0"/>
        <v>33</v>
      </c>
      <c r="U16" t="s">
        <v>144</v>
      </c>
    </row>
    <row r="17" spans="1:22" x14ac:dyDescent="0.3">
      <c r="A17">
        <v>3</v>
      </c>
      <c r="B17">
        <v>1</v>
      </c>
      <c r="C17">
        <v>207487</v>
      </c>
      <c r="D17" t="s">
        <v>252</v>
      </c>
      <c r="E17" s="10">
        <v>44085</v>
      </c>
      <c r="F17" t="s">
        <v>23</v>
      </c>
      <c r="G17" s="3" t="s">
        <v>28</v>
      </c>
      <c r="H17" t="s">
        <v>43</v>
      </c>
      <c r="K17">
        <v>1</v>
      </c>
      <c r="Q17">
        <v>3</v>
      </c>
      <c r="R17">
        <v>2</v>
      </c>
      <c r="T17" s="13">
        <f t="shared" si="0"/>
        <v>6</v>
      </c>
      <c r="U17" t="s">
        <v>144</v>
      </c>
    </row>
    <row r="18" spans="1:22" x14ac:dyDescent="0.3">
      <c r="A18">
        <v>3</v>
      </c>
      <c r="B18">
        <v>1</v>
      </c>
      <c r="C18">
        <v>207487</v>
      </c>
      <c r="D18" t="s">
        <v>252</v>
      </c>
      <c r="E18" s="10">
        <v>44085</v>
      </c>
      <c r="F18" t="s">
        <v>23</v>
      </c>
      <c r="G18" s="3" t="s">
        <v>28</v>
      </c>
      <c r="H18" t="s">
        <v>32</v>
      </c>
      <c r="P18">
        <v>1</v>
      </c>
      <c r="T18" s="13">
        <f t="shared" si="0"/>
        <v>1</v>
      </c>
      <c r="U18" t="s">
        <v>144</v>
      </c>
    </row>
    <row r="19" spans="1:22" x14ac:dyDescent="0.3">
      <c r="A19">
        <v>3</v>
      </c>
      <c r="B19">
        <v>1</v>
      </c>
      <c r="C19">
        <v>207487</v>
      </c>
      <c r="D19" t="s">
        <v>252</v>
      </c>
      <c r="E19" s="10">
        <v>44085</v>
      </c>
      <c r="F19" t="s">
        <v>23</v>
      </c>
      <c r="G19" s="3" t="s">
        <v>28</v>
      </c>
      <c r="H19" t="s">
        <v>34</v>
      </c>
      <c r="P19">
        <v>1</v>
      </c>
      <c r="T19" s="13">
        <f t="shared" si="0"/>
        <v>1</v>
      </c>
      <c r="U19" t="s">
        <v>144</v>
      </c>
    </row>
    <row r="20" spans="1:22" x14ac:dyDescent="0.3">
      <c r="A20">
        <v>3</v>
      </c>
      <c r="B20">
        <v>1</v>
      </c>
      <c r="C20">
        <v>207487</v>
      </c>
      <c r="D20" t="s">
        <v>252</v>
      </c>
      <c r="E20" s="10">
        <v>44085</v>
      </c>
      <c r="F20" t="s">
        <v>23</v>
      </c>
      <c r="G20" s="3" t="s">
        <v>28</v>
      </c>
      <c r="H20" t="s">
        <v>46</v>
      </c>
      <c r="Q20">
        <v>9</v>
      </c>
      <c r="R20">
        <v>1</v>
      </c>
      <c r="T20" s="13">
        <f t="shared" si="0"/>
        <v>10</v>
      </c>
      <c r="U20" t="s">
        <v>144</v>
      </c>
    </row>
    <row r="21" spans="1:22" x14ac:dyDescent="0.3">
      <c r="A21">
        <v>3</v>
      </c>
      <c r="B21">
        <v>1</v>
      </c>
      <c r="C21">
        <v>207487</v>
      </c>
      <c r="D21" t="s">
        <v>252</v>
      </c>
      <c r="E21" s="10">
        <v>44085</v>
      </c>
      <c r="F21" t="s">
        <v>23</v>
      </c>
      <c r="G21" s="3" t="s">
        <v>28</v>
      </c>
      <c r="H21" t="s">
        <v>45</v>
      </c>
      <c r="K21">
        <v>8</v>
      </c>
      <c r="T21" s="13">
        <f t="shared" si="0"/>
        <v>8</v>
      </c>
      <c r="U21" t="s">
        <v>144</v>
      </c>
    </row>
    <row r="22" spans="1:22" x14ac:dyDescent="0.3">
      <c r="A22">
        <v>3</v>
      </c>
      <c r="B22">
        <v>1</v>
      </c>
      <c r="C22">
        <v>207487</v>
      </c>
      <c r="D22" t="s">
        <v>252</v>
      </c>
      <c r="E22" s="10">
        <v>44085</v>
      </c>
      <c r="F22" t="s">
        <v>23</v>
      </c>
      <c r="G22" s="3" t="s">
        <v>28</v>
      </c>
      <c r="H22" t="s">
        <v>56</v>
      </c>
      <c r="S22">
        <v>15</v>
      </c>
      <c r="T22" s="13">
        <f t="shared" si="0"/>
        <v>15</v>
      </c>
      <c r="U22" t="s">
        <v>144</v>
      </c>
    </row>
    <row r="23" spans="1:22" x14ac:dyDescent="0.3">
      <c r="A23">
        <v>3</v>
      </c>
      <c r="B23">
        <v>1</v>
      </c>
      <c r="C23">
        <v>207487</v>
      </c>
      <c r="D23" t="s">
        <v>252</v>
      </c>
      <c r="E23" s="10">
        <v>44085</v>
      </c>
      <c r="F23" t="s">
        <v>23</v>
      </c>
      <c r="G23" s="3" t="s">
        <v>28</v>
      </c>
      <c r="H23" t="s">
        <v>223</v>
      </c>
      <c r="S23">
        <v>1</v>
      </c>
      <c r="T23" s="13">
        <f t="shared" si="0"/>
        <v>1</v>
      </c>
      <c r="U23" t="s">
        <v>144</v>
      </c>
    </row>
    <row r="24" spans="1:22" x14ac:dyDescent="0.3">
      <c r="A24">
        <v>3</v>
      </c>
      <c r="B24">
        <v>1</v>
      </c>
      <c r="C24">
        <v>207487</v>
      </c>
      <c r="D24" t="s">
        <v>252</v>
      </c>
      <c r="E24" s="10">
        <v>44085</v>
      </c>
      <c r="F24" t="s">
        <v>23</v>
      </c>
      <c r="G24" s="3" t="s">
        <v>28</v>
      </c>
      <c r="H24" t="s">
        <v>51</v>
      </c>
      <c r="S24">
        <v>2</v>
      </c>
      <c r="T24" s="13">
        <f t="shared" si="0"/>
        <v>2</v>
      </c>
      <c r="U24" t="s">
        <v>144</v>
      </c>
    </row>
    <row r="25" spans="1:22" x14ac:dyDescent="0.3">
      <c r="A25">
        <v>3</v>
      </c>
      <c r="B25">
        <v>1</v>
      </c>
      <c r="C25">
        <v>207487</v>
      </c>
      <c r="D25" t="s">
        <v>252</v>
      </c>
      <c r="E25" s="10">
        <v>44085</v>
      </c>
      <c r="F25" t="s">
        <v>23</v>
      </c>
      <c r="G25" s="3" t="s">
        <v>28</v>
      </c>
      <c r="H25" t="s">
        <v>57</v>
      </c>
      <c r="S25">
        <v>23</v>
      </c>
      <c r="T25" s="13">
        <f t="shared" si="0"/>
        <v>23</v>
      </c>
      <c r="U25" t="s">
        <v>144</v>
      </c>
    </row>
    <row r="26" spans="1:22" x14ac:dyDescent="0.3">
      <c r="A26">
        <v>3</v>
      </c>
      <c r="B26">
        <v>1</v>
      </c>
      <c r="C26">
        <v>207487</v>
      </c>
      <c r="D26" t="s">
        <v>252</v>
      </c>
      <c r="E26" s="10">
        <v>44085</v>
      </c>
      <c r="F26" t="s">
        <v>23</v>
      </c>
      <c r="G26" s="3" t="s">
        <v>28</v>
      </c>
      <c r="H26" t="s">
        <v>41</v>
      </c>
      <c r="S26">
        <v>2</v>
      </c>
      <c r="T26" s="13">
        <f t="shared" si="0"/>
        <v>2</v>
      </c>
      <c r="U26" t="s">
        <v>144</v>
      </c>
    </row>
    <row r="27" spans="1:22" x14ac:dyDescent="0.3">
      <c r="A27">
        <v>3</v>
      </c>
      <c r="B27">
        <v>1</v>
      </c>
      <c r="C27">
        <v>207487</v>
      </c>
      <c r="D27" t="s">
        <v>252</v>
      </c>
      <c r="E27" s="10">
        <v>44085</v>
      </c>
      <c r="F27" t="s">
        <v>23</v>
      </c>
      <c r="G27" s="3" t="s">
        <v>28</v>
      </c>
      <c r="H27" t="s">
        <v>163</v>
      </c>
      <c r="S27">
        <v>5</v>
      </c>
      <c r="T27" s="13">
        <f t="shared" si="0"/>
        <v>5</v>
      </c>
      <c r="U27" t="s">
        <v>144</v>
      </c>
    </row>
    <row r="28" spans="1:22" s="5" customFormat="1" ht="16.2" thickBot="1" x14ac:dyDescent="0.35">
      <c r="A28" s="5">
        <v>3</v>
      </c>
      <c r="B28" s="5">
        <v>1</v>
      </c>
      <c r="C28" s="5">
        <v>207487</v>
      </c>
      <c r="D28" s="5" t="s">
        <v>252</v>
      </c>
      <c r="E28" s="11">
        <v>44085</v>
      </c>
      <c r="F28" s="5" t="s">
        <v>23</v>
      </c>
      <c r="G28" s="6" t="s">
        <v>28</v>
      </c>
      <c r="H28" s="5" t="s">
        <v>79</v>
      </c>
      <c r="S28" s="5">
        <v>1</v>
      </c>
      <c r="T28" s="12">
        <f t="shared" si="0"/>
        <v>1</v>
      </c>
      <c r="U28" s="5" t="s">
        <v>144</v>
      </c>
      <c r="V28" s="14"/>
    </row>
    <row r="29" spans="1:22" x14ac:dyDescent="0.3">
      <c r="A29">
        <v>3</v>
      </c>
      <c r="B29">
        <v>2</v>
      </c>
      <c r="C29">
        <v>207488</v>
      </c>
      <c r="D29" t="s">
        <v>252</v>
      </c>
      <c r="E29" s="10">
        <v>44085</v>
      </c>
      <c r="F29" t="s">
        <v>23</v>
      </c>
      <c r="G29" s="3" t="s">
        <v>52</v>
      </c>
      <c r="H29" t="s">
        <v>256</v>
      </c>
      <c r="S29">
        <v>1</v>
      </c>
      <c r="T29" s="13">
        <f t="shared" si="0"/>
        <v>1</v>
      </c>
      <c r="U29" t="s">
        <v>143</v>
      </c>
    </row>
    <row r="30" spans="1:22" x14ac:dyDescent="0.3">
      <c r="A30">
        <v>3</v>
      </c>
      <c r="B30">
        <v>2</v>
      </c>
      <c r="C30">
        <v>207488</v>
      </c>
      <c r="D30" t="s">
        <v>252</v>
      </c>
      <c r="E30" s="10">
        <v>44085</v>
      </c>
      <c r="F30" t="s">
        <v>23</v>
      </c>
      <c r="G30" s="3" t="s">
        <v>52</v>
      </c>
      <c r="H30" t="s">
        <v>141</v>
      </c>
      <c r="S30">
        <v>1</v>
      </c>
      <c r="T30" s="13">
        <f t="shared" si="0"/>
        <v>1</v>
      </c>
      <c r="U30" t="s">
        <v>143</v>
      </c>
    </row>
    <row r="31" spans="1:22" x14ac:dyDescent="0.3">
      <c r="A31">
        <v>3</v>
      </c>
      <c r="B31">
        <v>2</v>
      </c>
      <c r="C31">
        <v>207488</v>
      </c>
      <c r="D31" t="s">
        <v>252</v>
      </c>
      <c r="E31" s="10">
        <v>44085</v>
      </c>
      <c r="F31" t="s">
        <v>23</v>
      </c>
      <c r="G31" s="3" t="s">
        <v>52</v>
      </c>
      <c r="H31" t="s">
        <v>244</v>
      </c>
      <c r="S31">
        <v>2</v>
      </c>
      <c r="T31" s="13">
        <f t="shared" si="0"/>
        <v>2</v>
      </c>
      <c r="U31" t="s">
        <v>143</v>
      </c>
    </row>
    <row r="32" spans="1:22" x14ac:dyDescent="0.3">
      <c r="A32">
        <v>3</v>
      </c>
      <c r="B32">
        <v>2</v>
      </c>
      <c r="C32">
        <v>207488</v>
      </c>
      <c r="D32" t="s">
        <v>252</v>
      </c>
      <c r="E32" s="10">
        <v>44085</v>
      </c>
      <c r="F32" t="s">
        <v>23</v>
      </c>
      <c r="G32" s="3" t="s">
        <v>52</v>
      </c>
      <c r="H32" t="s">
        <v>46</v>
      </c>
      <c r="Q32">
        <v>1</v>
      </c>
      <c r="T32" s="13">
        <f t="shared" si="0"/>
        <v>1</v>
      </c>
      <c r="U32" t="s">
        <v>144</v>
      </c>
    </row>
    <row r="33" spans="1:22" x14ac:dyDescent="0.3">
      <c r="A33">
        <v>3</v>
      </c>
      <c r="B33">
        <v>2</v>
      </c>
      <c r="C33">
        <v>207488</v>
      </c>
      <c r="D33" t="s">
        <v>252</v>
      </c>
      <c r="E33" s="10">
        <v>44085</v>
      </c>
      <c r="F33" t="s">
        <v>23</v>
      </c>
      <c r="G33" s="3" t="s">
        <v>28</v>
      </c>
      <c r="H33" t="s">
        <v>25</v>
      </c>
      <c r="M33">
        <v>1</v>
      </c>
      <c r="P33">
        <v>8</v>
      </c>
      <c r="T33" s="13">
        <f t="shared" si="0"/>
        <v>9</v>
      </c>
      <c r="U33" t="s">
        <v>144</v>
      </c>
      <c r="V33" s="15" t="s">
        <v>258</v>
      </c>
    </row>
    <row r="34" spans="1:22" x14ac:dyDescent="0.3">
      <c r="A34">
        <v>3</v>
      </c>
      <c r="B34">
        <v>2</v>
      </c>
      <c r="C34">
        <v>207488</v>
      </c>
      <c r="D34" t="s">
        <v>252</v>
      </c>
      <c r="E34" s="10">
        <v>44085</v>
      </c>
      <c r="F34" t="s">
        <v>23</v>
      </c>
      <c r="G34" s="3" t="s">
        <v>28</v>
      </c>
      <c r="H34" t="s">
        <v>27</v>
      </c>
      <c r="P34">
        <v>1</v>
      </c>
      <c r="T34" s="13">
        <f t="shared" si="0"/>
        <v>1</v>
      </c>
      <c r="U34" t="s">
        <v>144</v>
      </c>
    </row>
    <row r="35" spans="1:22" x14ac:dyDescent="0.3">
      <c r="A35">
        <v>3</v>
      </c>
      <c r="B35">
        <v>2</v>
      </c>
      <c r="C35">
        <v>207488</v>
      </c>
      <c r="D35" t="s">
        <v>252</v>
      </c>
      <c r="E35" s="10">
        <v>44085</v>
      </c>
      <c r="F35" t="s">
        <v>23</v>
      </c>
      <c r="G35" s="3" t="s">
        <v>178</v>
      </c>
      <c r="H35" t="s">
        <v>30</v>
      </c>
      <c r="I35">
        <v>5</v>
      </c>
      <c r="J35">
        <v>28</v>
      </c>
      <c r="T35" s="13">
        <f t="shared" si="0"/>
        <v>33</v>
      </c>
      <c r="U35" t="s">
        <v>144</v>
      </c>
    </row>
    <row r="36" spans="1:22" x14ac:dyDescent="0.3">
      <c r="A36">
        <v>3</v>
      </c>
      <c r="B36">
        <v>2</v>
      </c>
      <c r="C36">
        <v>207488</v>
      </c>
      <c r="D36" t="s">
        <v>252</v>
      </c>
      <c r="E36" s="10">
        <v>44085</v>
      </c>
      <c r="F36" t="s">
        <v>23</v>
      </c>
      <c r="G36" s="3" t="s">
        <v>178</v>
      </c>
      <c r="H36" t="s">
        <v>44</v>
      </c>
      <c r="J36">
        <v>6</v>
      </c>
      <c r="O36">
        <v>5</v>
      </c>
      <c r="P36">
        <v>1</v>
      </c>
      <c r="T36" s="13">
        <f t="shared" si="0"/>
        <v>12</v>
      </c>
      <c r="U36" t="s">
        <v>144</v>
      </c>
    </row>
    <row r="37" spans="1:22" x14ac:dyDescent="0.3">
      <c r="A37">
        <v>3</v>
      </c>
      <c r="B37">
        <v>2</v>
      </c>
      <c r="C37">
        <v>207488</v>
      </c>
      <c r="D37" t="s">
        <v>252</v>
      </c>
      <c r="E37" s="10">
        <v>44085</v>
      </c>
      <c r="F37" t="s">
        <v>23</v>
      </c>
      <c r="G37" s="3" t="s">
        <v>178</v>
      </c>
      <c r="H37" t="s">
        <v>253</v>
      </c>
      <c r="J37">
        <v>9</v>
      </c>
      <c r="O37">
        <v>8</v>
      </c>
      <c r="P37">
        <v>6</v>
      </c>
      <c r="T37" s="13">
        <f t="shared" si="0"/>
        <v>23</v>
      </c>
      <c r="U37" t="s">
        <v>144</v>
      </c>
    </row>
    <row r="38" spans="1:22" x14ac:dyDescent="0.3">
      <c r="A38">
        <v>3</v>
      </c>
      <c r="B38">
        <v>2</v>
      </c>
      <c r="C38">
        <v>207488</v>
      </c>
      <c r="D38" t="s">
        <v>252</v>
      </c>
      <c r="E38" s="10">
        <v>44085</v>
      </c>
      <c r="F38" t="s">
        <v>23</v>
      </c>
      <c r="G38" s="3" t="s">
        <v>178</v>
      </c>
      <c r="H38" t="s">
        <v>31</v>
      </c>
      <c r="O38">
        <v>2</v>
      </c>
      <c r="P38">
        <v>4</v>
      </c>
      <c r="Q38">
        <v>7</v>
      </c>
      <c r="R38">
        <v>4</v>
      </c>
      <c r="T38" s="13">
        <f t="shared" si="0"/>
        <v>17</v>
      </c>
      <c r="U38" t="s">
        <v>144</v>
      </c>
    </row>
    <row r="39" spans="1:22" x14ac:dyDescent="0.3">
      <c r="A39">
        <v>3</v>
      </c>
      <c r="B39">
        <v>2</v>
      </c>
      <c r="C39">
        <v>207488</v>
      </c>
      <c r="D39" t="s">
        <v>252</v>
      </c>
      <c r="E39" s="10">
        <v>44085</v>
      </c>
      <c r="F39" t="s">
        <v>23</v>
      </c>
      <c r="G39" s="3" t="s">
        <v>178</v>
      </c>
      <c r="H39" t="s">
        <v>37</v>
      </c>
      <c r="O39">
        <v>5</v>
      </c>
      <c r="P39">
        <v>1</v>
      </c>
      <c r="T39" s="13">
        <f t="shared" si="0"/>
        <v>6</v>
      </c>
      <c r="U39" t="s">
        <v>144</v>
      </c>
    </row>
    <row r="40" spans="1:22" x14ac:dyDescent="0.3">
      <c r="A40">
        <v>3</v>
      </c>
      <c r="B40">
        <v>2</v>
      </c>
      <c r="C40">
        <v>207488</v>
      </c>
      <c r="D40" t="s">
        <v>252</v>
      </c>
      <c r="E40" s="10">
        <v>44085</v>
      </c>
      <c r="F40" t="s">
        <v>23</v>
      </c>
      <c r="G40" s="3" t="s">
        <v>178</v>
      </c>
      <c r="H40" t="s">
        <v>32</v>
      </c>
      <c r="O40">
        <v>9</v>
      </c>
      <c r="T40" s="13">
        <f t="shared" si="0"/>
        <v>9</v>
      </c>
      <c r="U40" t="s">
        <v>144</v>
      </c>
    </row>
    <row r="41" spans="1:22" x14ac:dyDescent="0.3">
      <c r="A41">
        <v>3</v>
      </c>
      <c r="B41">
        <v>2</v>
      </c>
      <c r="C41">
        <v>207488</v>
      </c>
      <c r="D41" t="s">
        <v>252</v>
      </c>
      <c r="E41" s="10">
        <v>44085</v>
      </c>
      <c r="F41" t="s">
        <v>23</v>
      </c>
      <c r="G41" s="3" t="s">
        <v>178</v>
      </c>
      <c r="H41" t="s">
        <v>33</v>
      </c>
      <c r="Q41">
        <v>4</v>
      </c>
      <c r="R41">
        <v>1</v>
      </c>
      <c r="T41" s="13">
        <f t="shared" si="0"/>
        <v>5</v>
      </c>
      <c r="U41" t="s">
        <v>144</v>
      </c>
    </row>
    <row r="42" spans="1:22" x14ac:dyDescent="0.3">
      <c r="A42">
        <v>3</v>
      </c>
      <c r="B42">
        <v>2</v>
      </c>
      <c r="C42">
        <v>207488</v>
      </c>
      <c r="D42" t="s">
        <v>252</v>
      </c>
      <c r="E42" s="10">
        <v>44085</v>
      </c>
      <c r="F42" t="s">
        <v>23</v>
      </c>
      <c r="G42" s="3" t="s">
        <v>178</v>
      </c>
      <c r="H42" t="s">
        <v>150</v>
      </c>
      <c r="R42">
        <v>3</v>
      </c>
      <c r="T42" s="13">
        <f t="shared" si="0"/>
        <v>3</v>
      </c>
      <c r="U42" t="s">
        <v>144</v>
      </c>
    </row>
    <row r="43" spans="1:22" x14ac:dyDescent="0.3">
      <c r="A43">
        <v>3</v>
      </c>
      <c r="B43">
        <v>2</v>
      </c>
      <c r="C43">
        <v>207488</v>
      </c>
      <c r="D43" t="s">
        <v>252</v>
      </c>
      <c r="E43" s="10">
        <v>44085</v>
      </c>
      <c r="F43" t="s">
        <v>23</v>
      </c>
      <c r="G43" s="3" t="s">
        <v>178</v>
      </c>
      <c r="H43" t="s">
        <v>71</v>
      </c>
      <c r="Q43">
        <v>8</v>
      </c>
      <c r="R43">
        <v>2</v>
      </c>
      <c r="T43" s="13">
        <f t="shared" si="0"/>
        <v>10</v>
      </c>
      <c r="U43" t="s">
        <v>144</v>
      </c>
    </row>
    <row r="44" spans="1:22" x14ac:dyDescent="0.3">
      <c r="A44">
        <v>3</v>
      </c>
      <c r="B44">
        <v>2</v>
      </c>
      <c r="C44">
        <v>207488</v>
      </c>
      <c r="D44" t="s">
        <v>252</v>
      </c>
      <c r="E44" s="10">
        <v>44085</v>
      </c>
      <c r="F44" t="s">
        <v>23</v>
      </c>
      <c r="G44" s="3" t="s">
        <v>178</v>
      </c>
      <c r="H44" t="s">
        <v>38</v>
      </c>
      <c r="P44">
        <v>7</v>
      </c>
      <c r="Q44">
        <v>2</v>
      </c>
      <c r="R44">
        <v>3</v>
      </c>
      <c r="T44" s="13">
        <f t="shared" si="0"/>
        <v>12</v>
      </c>
      <c r="U44" t="s">
        <v>144</v>
      </c>
    </row>
    <row r="45" spans="1:22" x14ac:dyDescent="0.3">
      <c r="A45">
        <v>3</v>
      </c>
      <c r="B45">
        <v>2</v>
      </c>
      <c r="C45">
        <v>207488</v>
      </c>
      <c r="D45" t="s">
        <v>252</v>
      </c>
      <c r="E45" s="10">
        <v>44085</v>
      </c>
      <c r="F45" t="s">
        <v>23</v>
      </c>
      <c r="G45" s="3" t="s">
        <v>178</v>
      </c>
      <c r="H45" t="s">
        <v>39</v>
      </c>
      <c r="R45">
        <v>1</v>
      </c>
      <c r="T45" s="13">
        <f t="shared" si="0"/>
        <v>1</v>
      </c>
      <c r="U45" t="s">
        <v>144</v>
      </c>
    </row>
    <row r="46" spans="1:22" x14ac:dyDescent="0.3">
      <c r="A46">
        <v>3</v>
      </c>
      <c r="B46">
        <v>2</v>
      </c>
      <c r="C46">
        <v>207488</v>
      </c>
      <c r="D46" t="s">
        <v>252</v>
      </c>
      <c r="E46" s="10">
        <v>44085</v>
      </c>
      <c r="F46" t="s">
        <v>23</v>
      </c>
      <c r="G46" s="3" t="s">
        <v>178</v>
      </c>
      <c r="H46" t="s">
        <v>98</v>
      </c>
      <c r="Q46">
        <v>4</v>
      </c>
      <c r="T46" s="13">
        <f t="shared" si="0"/>
        <v>4</v>
      </c>
      <c r="U46" t="s">
        <v>144</v>
      </c>
    </row>
    <row r="47" spans="1:22" x14ac:dyDescent="0.3">
      <c r="A47">
        <v>3</v>
      </c>
      <c r="B47">
        <v>2</v>
      </c>
      <c r="C47">
        <v>207488</v>
      </c>
      <c r="D47" t="s">
        <v>252</v>
      </c>
      <c r="E47" s="10">
        <v>44085</v>
      </c>
      <c r="F47" t="s">
        <v>23</v>
      </c>
      <c r="G47" s="3" t="s">
        <v>178</v>
      </c>
      <c r="H47" t="s">
        <v>43</v>
      </c>
      <c r="K47">
        <v>3</v>
      </c>
      <c r="Q47">
        <v>1</v>
      </c>
      <c r="T47" s="13">
        <f t="shared" si="0"/>
        <v>4</v>
      </c>
      <c r="U47" t="s">
        <v>144</v>
      </c>
    </row>
    <row r="48" spans="1:22" x14ac:dyDescent="0.3">
      <c r="A48">
        <v>3</v>
      </c>
      <c r="B48">
        <v>2</v>
      </c>
      <c r="C48">
        <v>207488</v>
      </c>
      <c r="D48" t="s">
        <v>252</v>
      </c>
      <c r="E48" s="10">
        <v>44085</v>
      </c>
      <c r="F48" t="s">
        <v>23</v>
      </c>
      <c r="G48" s="3" t="s">
        <v>178</v>
      </c>
      <c r="H48" t="s">
        <v>55</v>
      </c>
      <c r="S48">
        <v>1</v>
      </c>
      <c r="T48" s="13">
        <f t="shared" si="0"/>
        <v>1</v>
      </c>
      <c r="U48" t="s">
        <v>144</v>
      </c>
    </row>
    <row r="49" spans="1:22" x14ac:dyDescent="0.3">
      <c r="A49">
        <v>3</v>
      </c>
      <c r="B49">
        <v>2</v>
      </c>
      <c r="C49">
        <v>207488</v>
      </c>
      <c r="D49" t="s">
        <v>252</v>
      </c>
      <c r="E49" s="10">
        <v>44085</v>
      </c>
      <c r="F49" t="s">
        <v>23</v>
      </c>
      <c r="G49" s="3" t="s">
        <v>178</v>
      </c>
      <c r="H49" t="s">
        <v>51</v>
      </c>
      <c r="S49">
        <v>7</v>
      </c>
      <c r="T49" s="13">
        <f t="shared" si="0"/>
        <v>7</v>
      </c>
      <c r="U49" t="s">
        <v>144</v>
      </c>
    </row>
    <row r="50" spans="1:22" x14ac:dyDescent="0.3">
      <c r="A50">
        <v>3</v>
      </c>
      <c r="B50">
        <v>2</v>
      </c>
      <c r="C50">
        <v>207488</v>
      </c>
      <c r="D50" t="s">
        <v>252</v>
      </c>
      <c r="E50" s="10">
        <v>44085</v>
      </c>
      <c r="F50" t="s">
        <v>23</v>
      </c>
      <c r="G50" s="3" t="s">
        <v>178</v>
      </c>
      <c r="H50" t="s">
        <v>223</v>
      </c>
      <c r="S50">
        <v>1</v>
      </c>
      <c r="T50" s="13">
        <f t="shared" si="0"/>
        <v>1</v>
      </c>
      <c r="U50" t="s">
        <v>144</v>
      </c>
    </row>
    <row r="51" spans="1:22" x14ac:dyDescent="0.3">
      <c r="A51">
        <v>3</v>
      </c>
      <c r="B51">
        <v>2</v>
      </c>
      <c r="C51">
        <v>207488</v>
      </c>
      <c r="D51" t="s">
        <v>252</v>
      </c>
      <c r="E51" s="10">
        <v>44085</v>
      </c>
      <c r="F51" t="s">
        <v>23</v>
      </c>
      <c r="G51" s="3" t="s">
        <v>178</v>
      </c>
      <c r="H51" t="s">
        <v>56</v>
      </c>
      <c r="S51">
        <v>23</v>
      </c>
      <c r="T51" s="13">
        <f t="shared" si="0"/>
        <v>23</v>
      </c>
      <c r="U51" t="s">
        <v>144</v>
      </c>
    </row>
    <row r="52" spans="1:22" x14ac:dyDescent="0.3">
      <c r="A52">
        <v>3</v>
      </c>
      <c r="B52">
        <v>2</v>
      </c>
      <c r="C52">
        <v>207488</v>
      </c>
      <c r="D52" t="s">
        <v>252</v>
      </c>
      <c r="E52" s="10">
        <v>44085</v>
      </c>
      <c r="F52" t="s">
        <v>23</v>
      </c>
      <c r="G52" s="3" t="s">
        <v>178</v>
      </c>
      <c r="H52" t="s">
        <v>41</v>
      </c>
      <c r="S52">
        <v>1</v>
      </c>
      <c r="T52" s="13">
        <f t="shared" si="0"/>
        <v>1</v>
      </c>
      <c r="U52" t="s">
        <v>144</v>
      </c>
    </row>
    <row r="53" spans="1:22" x14ac:dyDescent="0.3">
      <c r="A53">
        <v>3</v>
      </c>
      <c r="B53">
        <v>2</v>
      </c>
      <c r="C53">
        <v>207488</v>
      </c>
      <c r="D53" t="s">
        <v>252</v>
      </c>
      <c r="E53" s="10">
        <v>44085</v>
      </c>
      <c r="F53" t="s">
        <v>23</v>
      </c>
      <c r="G53" s="3" t="s">
        <v>178</v>
      </c>
      <c r="H53" t="s">
        <v>57</v>
      </c>
      <c r="S53">
        <v>22</v>
      </c>
      <c r="T53" s="13">
        <f t="shared" si="0"/>
        <v>22</v>
      </c>
      <c r="U53" t="s">
        <v>144</v>
      </c>
    </row>
    <row r="54" spans="1:22" x14ac:dyDescent="0.3">
      <c r="A54">
        <v>3</v>
      </c>
      <c r="B54">
        <v>2</v>
      </c>
      <c r="C54">
        <v>207488</v>
      </c>
      <c r="D54" t="s">
        <v>252</v>
      </c>
      <c r="E54" s="10">
        <v>44085</v>
      </c>
      <c r="F54" t="s">
        <v>23</v>
      </c>
      <c r="G54" s="3" t="s">
        <v>178</v>
      </c>
      <c r="H54" t="s">
        <v>163</v>
      </c>
      <c r="S54">
        <v>1</v>
      </c>
      <c r="T54" s="13">
        <f t="shared" si="0"/>
        <v>1</v>
      </c>
      <c r="U54" t="s">
        <v>144</v>
      </c>
    </row>
    <row r="55" spans="1:22" x14ac:dyDescent="0.3">
      <c r="A55">
        <v>3</v>
      </c>
      <c r="B55">
        <v>2</v>
      </c>
      <c r="C55">
        <v>207488</v>
      </c>
      <c r="D55" t="s">
        <v>252</v>
      </c>
      <c r="E55" s="10">
        <v>44085</v>
      </c>
      <c r="F55" t="s">
        <v>23</v>
      </c>
      <c r="G55" s="3" t="s">
        <v>178</v>
      </c>
      <c r="H55" t="s">
        <v>46</v>
      </c>
      <c r="Q55">
        <v>21</v>
      </c>
      <c r="R55">
        <v>3</v>
      </c>
      <c r="T55" s="13">
        <f t="shared" si="0"/>
        <v>24</v>
      </c>
      <c r="U55" t="s">
        <v>144</v>
      </c>
    </row>
    <row r="56" spans="1:22" s="5" customFormat="1" ht="16.2" thickBot="1" x14ac:dyDescent="0.35">
      <c r="A56" s="5">
        <v>3</v>
      </c>
      <c r="B56" s="5">
        <v>2</v>
      </c>
      <c r="C56" s="5">
        <v>207488</v>
      </c>
      <c r="D56" s="5" t="s">
        <v>252</v>
      </c>
      <c r="E56" s="11">
        <v>44085</v>
      </c>
      <c r="F56" s="5" t="s">
        <v>23</v>
      </c>
      <c r="G56" s="6" t="s">
        <v>178</v>
      </c>
      <c r="H56" s="5" t="s">
        <v>45</v>
      </c>
      <c r="K56" s="5">
        <v>12</v>
      </c>
      <c r="T56" s="12">
        <f t="shared" si="0"/>
        <v>12</v>
      </c>
      <c r="U56" s="5" t="s">
        <v>144</v>
      </c>
      <c r="V56" s="14"/>
    </row>
    <row r="57" spans="1:22" x14ac:dyDescent="0.3">
      <c r="A57">
        <v>3</v>
      </c>
      <c r="B57">
        <v>3</v>
      </c>
      <c r="C57">
        <v>207489</v>
      </c>
      <c r="D57" t="s">
        <v>252</v>
      </c>
      <c r="E57" s="10">
        <v>44085</v>
      </c>
      <c r="F57" t="s">
        <v>23</v>
      </c>
      <c r="G57" s="3" t="s">
        <v>52</v>
      </c>
      <c r="H57" t="s">
        <v>64</v>
      </c>
      <c r="S57">
        <v>1</v>
      </c>
      <c r="T57" s="13">
        <f t="shared" si="0"/>
        <v>1</v>
      </c>
      <c r="U57" t="s">
        <v>143</v>
      </c>
    </row>
    <row r="58" spans="1:22" x14ac:dyDescent="0.3">
      <c r="A58">
        <v>3</v>
      </c>
      <c r="B58">
        <v>3</v>
      </c>
      <c r="C58">
        <v>207489</v>
      </c>
      <c r="D58" t="s">
        <v>252</v>
      </c>
      <c r="E58" s="10">
        <v>44085</v>
      </c>
      <c r="F58" t="s">
        <v>23</v>
      </c>
      <c r="G58" s="3" t="s">
        <v>52</v>
      </c>
      <c r="H58" t="s">
        <v>38</v>
      </c>
      <c r="P58">
        <v>1</v>
      </c>
      <c r="T58" s="13">
        <f t="shared" si="0"/>
        <v>1</v>
      </c>
      <c r="U58" t="s">
        <v>144</v>
      </c>
    </row>
    <row r="59" spans="1:22" ht="31.2" x14ac:dyDescent="0.3">
      <c r="A59">
        <v>3</v>
      </c>
      <c r="B59">
        <v>3</v>
      </c>
      <c r="C59">
        <v>207489</v>
      </c>
      <c r="D59" t="s">
        <v>252</v>
      </c>
      <c r="E59" s="10">
        <v>44085</v>
      </c>
      <c r="F59" t="s">
        <v>23</v>
      </c>
      <c r="G59" s="3" t="s">
        <v>68</v>
      </c>
      <c r="H59" t="s">
        <v>25</v>
      </c>
      <c r="M59">
        <v>2</v>
      </c>
      <c r="N59">
        <v>3</v>
      </c>
      <c r="P59">
        <v>28</v>
      </c>
      <c r="Q59">
        <v>4</v>
      </c>
      <c r="R59">
        <v>1</v>
      </c>
      <c r="T59" s="13">
        <f t="shared" si="0"/>
        <v>38</v>
      </c>
      <c r="U59" t="s">
        <v>144</v>
      </c>
      <c r="V59" s="15" t="s">
        <v>259</v>
      </c>
    </row>
    <row r="60" spans="1:22" x14ac:dyDescent="0.3">
      <c r="A60">
        <v>3</v>
      </c>
      <c r="B60">
        <v>3</v>
      </c>
      <c r="C60">
        <v>207489</v>
      </c>
      <c r="D60" t="s">
        <v>252</v>
      </c>
      <c r="E60" s="10">
        <v>44085</v>
      </c>
      <c r="F60" t="s">
        <v>23</v>
      </c>
      <c r="G60" s="3" t="s">
        <v>68</v>
      </c>
      <c r="H60" t="s">
        <v>27</v>
      </c>
      <c r="M60">
        <v>1</v>
      </c>
      <c r="P60">
        <v>1</v>
      </c>
      <c r="T60" s="13">
        <f t="shared" si="0"/>
        <v>2</v>
      </c>
      <c r="U60" t="s">
        <v>144</v>
      </c>
    </row>
    <row r="61" spans="1:22" x14ac:dyDescent="0.3">
      <c r="A61">
        <v>3</v>
      </c>
      <c r="B61">
        <v>3</v>
      </c>
      <c r="C61">
        <v>207489</v>
      </c>
      <c r="D61" t="s">
        <v>252</v>
      </c>
      <c r="E61" s="10">
        <v>44085</v>
      </c>
      <c r="F61" t="s">
        <v>23</v>
      </c>
      <c r="G61" s="3" t="s">
        <v>28</v>
      </c>
      <c r="H61" t="s">
        <v>253</v>
      </c>
      <c r="J61">
        <v>15</v>
      </c>
      <c r="O61">
        <v>8</v>
      </c>
      <c r="T61" s="13">
        <f t="shared" si="0"/>
        <v>23</v>
      </c>
      <c r="U61" t="s">
        <v>144</v>
      </c>
    </row>
    <row r="62" spans="1:22" x14ac:dyDescent="0.3">
      <c r="A62">
        <v>3</v>
      </c>
      <c r="B62">
        <v>3</v>
      </c>
      <c r="C62">
        <v>207489</v>
      </c>
      <c r="D62" t="s">
        <v>252</v>
      </c>
      <c r="E62" s="10">
        <v>44085</v>
      </c>
      <c r="F62" t="s">
        <v>23</v>
      </c>
      <c r="G62" s="3" t="s">
        <v>28</v>
      </c>
      <c r="H62" t="s">
        <v>44</v>
      </c>
      <c r="J62">
        <v>10</v>
      </c>
      <c r="O62">
        <v>5</v>
      </c>
      <c r="T62" s="13">
        <f t="shared" si="0"/>
        <v>15</v>
      </c>
      <c r="U62" t="s">
        <v>144</v>
      </c>
    </row>
    <row r="63" spans="1:22" x14ac:dyDescent="0.3">
      <c r="A63">
        <v>3</v>
      </c>
      <c r="B63">
        <v>3</v>
      </c>
      <c r="C63">
        <v>207489</v>
      </c>
      <c r="D63" t="s">
        <v>252</v>
      </c>
      <c r="E63" s="10">
        <v>44085</v>
      </c>
      <c r="F63" t="s">
        <v>23</v>
      </c>
      <c r="G63" s="3" t="s">
        <v>28</v>
      </c>
      <c r="H63" t="s">
        <v>30</v>
      </c>
      <c r="J63">
        <v>24</v>
      </c>
      <c r="T63" s="13">
        <f t="shared" si="0"/>
        <v>24</v>
      </c>
      <c r="U63" t="s">
        <v>144</v>
      </c>
    </row>
    <row r="64" spans="1:22" x14ac:dyDescent="0.3">
      <c r="A64">
        <v>3</v>
      </c>
      <c r="B64">
        <v>3</v>
      </c>
      <c r="C64">
        <v>207489</v>
      </c>
      <c r="D64" t="s">
        <v>252</v>
      </c>
      <c r="E64" s="10">
        <v>44085</v>
      </c>
      <c r="F64" t="s">
        <v>23</v>
      </c>
      <c r="G64" s="3" t="s">
        <v>28</v>
      </c>
      <c r="H64" t="s">
        <v>31</v>
      </c>
      <c r="O64">
        <v>1</v>
      </c>
      <c r="P64">
        <v>9</v>
      </c>
      <c r="Q64">
        <v>13</v>
      </c>
      <c r="R64">
        <v>4</v>
      </c>
      <c r="T64" s="13">
        <f t="shared" si="0"/>
        <v>27</v>
      </c>
      <c r="U64" t="s">
        <v>144</v>
      </c>
    </row>
    <row r="65" spans="1:21" x14ac:dyDescent="0.3">
      <c r="A65">
        <v>3</v>
      </c>
      <c r="B65">
        <v>3</v>
      </c>
      <c r="C65">
        <v>207489</v>
      </c>
      <c r="D65" t="s">
        <v>252</v>
      </c>
      <c r="E65" s="10">
        <v>44085</v>
      </c>
      <c r="F65" t="s">
        <v>23</v>
      </c>
      <c r="G65" s="3" t="s">
        <v>28</v>
      </c>
      <c r="H65" t="s">
        <v>37</v>
      </c>
      <c r="O65">
        <v>4</v>
      </c>
      <c r="T65" s="13">
        <f t="shared" si="0"/>
        <v>4</v>
      </c>
      <c r="U65" t="s">
        <v>144</v>
      </c>
    </row>
    <row r="66" spans="1:21" x14ac:dyDescent="0.3">
      <c r="A66">
        <v>3</v>
      </c>
      <c r="B66">
        <v>3</v>
      </c>
      <c r="C66">
        <v>207489</v>
      </c>
      <c r="D66" t="s">
        <v>252</v>
      </c>
      <c r="E66" s="10">
        <v>44085</v>
      </c>
      <c r="F66" t="s">
        <v>23</v>
      </c>
      <c r="G66" s="3" t="s">
        <v>28</v>
      </c>
      <c r="H66" t="s">
        <v>32</v>
      </c>
      <c r="O66">
        <v>7</v>
      </c>
      <c r="T66" s="13">
        <f t="shared" si="0"/>
        <v>7</v>
      </c>
      <c r="U66" t="s">
        <v>144</v>
      </c>
    </row>
    <row r="67" spans="1:21" x14ac:dyDescent="0.3">
      <c r="A67">
        <v>3</v>
      </c>
      <c r="B67">
        <v>3</v>
      </c>
      <c r="C67">
        <v>207489</v>
      </c>
      <c r="D67" t="s">
        <v>252</v>
      </c>
      <c r="E67" s="10">
        <v>44085</v>
      </c>
      <c r="F67" t="s">
        <v>23</v>
      </c>
      <c r="G67" s="3" t="s">
        <v>28</v>
      </c>
      <c r="H67" t="s">
        <v>33</v>
      </c>
      <c r="P67">
        <v>6</v>
      </c>
      <c r="Q67">
        <v>3</v>
      </c>
      <c r="R67">
        <v>3</v>
      </c>
      <c r="T67" s="13">
        <f t="shared" ref="T67:T102" si="1">SUM(I67:S67)</f>
        <v>12</v>
      </c>
      <c r="U67" t="s">
        <v>144</v>
      </c>
    </row>
    <row r="68" spans="1:21" x14ac:dyDescent="0.3">
      <c r="A68">
        <v>3</v>
      </c>
      <c r="B68">
        <v>3</v>
      </c>
      <c r="C68">
        <v>207489</v>
      </c>
      <c r="D68" t="s">
        <v>252</v>
      </c>
      <c r="E68" s="10">
        <v>44085</v>
      </c>
      <c r="F68" t="s">
        <v>23</v>
      </c>
      <c r="G68" s="3" t="s">
        <v>28</v>
      </c>
      <c r="H68" t="s">
        <v>38</v>
      </c>
      <c r="P68">
        <v>6</v>
      </c>
      <c r="Q68">
        <v>1</v>
      </c>
      <c r="R68">
        <v>6</v>
      </c>
      <c r="T68" s="13">
        <f t="shared" si="1"/>
        <v>13</v>
      </c>
      <c r="U68" t="s">
        <v>144</v>
      </c>
    </row>
    <row r="69" spans="1:21" x14ac:dyDescent="0.3">
      <c r="A69">
        <v>3</v>
      </c>
      <c r="B69">
        <v>3</v>
      </c>
      <c r="C69">
        <v>207489</v>
      </c>
      <c r="D69" t="s">
        <v>252</v>
      </c>
      <c r="E69" s="10">
        <v>44085</v>
      </c>
      <c r="F69" t="s">
        <v>23</v>
      </c>
      <c r="G69" s="3" t="s">
        <v>28</v>
      </c>
      <c r="H69" t="s">
        <v>150</v>
      </c>
      <c r="Q69">
        <v>2</v>
      </c>
      <c r="R69">
        <v>2</v>
      </c>
      <c r="T69" s="13">
        <f t="shared" si="1"/>
        <v>4</v>
      </c>
      <c r="U69" t="s">
        <v>144</v>
      </c>
    </row>
    <row r="70" spans="1:21" x14ac:dyDescent="0.3">
      <c r="A70">
        <v>3</v>
      </c>
      <c r="B70">
        <v>3</v>
      </c>
      <c r="C70">
        <v>207489</v>
      </c>
      <c r="D70" t="s">
        <v>252</v>
      </c>
      <c r="E70" s="10">
        <v>44085</v>
      </c>
      <c r="F70" t="s">
        <v>23</v>
      </c>
      <c r="G70" s="3" t="s">
        <v>28</v>
      </c>
      <c r="H70" t="s">
        <v>71</v>
      </c>
      <c r="P70">
        <v>2</v>
      </c>
      <c r="Q70">
        <v>8</v>
      </c>
      <c r="R70">
        <v>13</v>
      </c>
      <c r="T70" s="13">
        <f t="shared" si="1"/>
        <v>23</v>
      </c>
      <c r="U70" t="s">
        <v>144</v>
      </c>
    </row>
    <row r="71" spans="1:21" x14ac:dyDescent="0.3">
      <c r="A71">
        <v>3</v>
      </c>
      <c r="B71">
        <v>3</v>
      </c>
      <c r="C71">
        <v>207489</v>
      </c>
      <c r="D71" t="s">
        <v>252</v>
      </c>
      <c r="E71" s="10">
        <v>44085</v>
      </c>
      <c r="F71" t="s">
        <v>23</v>
      </c>
      <c r="G71" s="3" t="s">
        <v>28</v>
      </c>
      <c r="H71" t="s">
        <v>98</v>
      </c>
      <c r="Q71">
        <v>1</v>
      </c>
      <c r="T71" s="13">
        <f t="shared" si="1"/>
        <v>1</v>
      </c>
      <c r="U71" t="s">
        <v>144</v>
      </c>
    </row>
    <row r="72" spans="1:21" x14ac:dyDescent="0.3">
      <c r="A72">
        <v>3</v>
      </c>
      <c r="B72">
        <v>3</v>
      </c>
      <c r="C72">
        <v>207489</v>
      </c>
      <c r="D72" t="s">
        <v>252</v>
      </c>
      <c r="E72" s="10">
        <v>44085</v>
      </c>
      <c r="F72" t="s">
        <v>23</v>
      </c>
      <c r="G72" s="3" t="s">
        <v>28</v>
      </c>
      <c r="H72" t="s">
        <v>66</v>
      </c>
      <c r="P72">
        <v>1</v>
      </c>
      <c r="T72" s="13">
        <f t="shared" si="1"/>
        <v>1</v>
      </c>
      <c r="U72" t="s">
        <v>144</v>
      </c>
    </row>
    <row r="73" spans="1:21" x14ac:dyDescent="0.3">
      <c r="A73">
        <v>3</v>
      </c>
      <c r="B73">
        <v>3</v>
      </c>
      <c r="C73">
        <v>207489</v>
      </c>
      <c r="D73" t="s">
        <v>252</v>
      </c>
      <c r="E73" s="10">
        <v>44085</v>
      </c>
      <c r="F73" t="s">
        <v>23</v>
      </c>
      <c r="G73" s="3" t="s">
        <v>28</v>
      </c>
      <c r="H73" t="s">
        <v>43</v>
      </c>
      <c r="K73">
        <v>5</v>
      </c>
      <c r="Q73">
        <v>5</v>
      </c>
      <c r="T73" s="13">
        <f t="shared" si="1"/>
        <v>10</v>
      </c>
      <c r="U73" t="s">
        <v>144</v>
      </c>
    </row>
    <row r="74" spans="1:21" x14ac:dyDescent="0.3">
      <c r="A74">
        <v>3</v>
      </c>
      <c r="B74">
        <v>3</v>
      </c>
      <c r="C74">
        <v>207489</v>
      </c>
      <c r="D74" t="s">
        <v>252</v>
      </c>
      <c r="E74" s="10">
        <v>44085</v>
      </c>
      <c r="F74" t="s">
        <v>23</v>
      </c>
      <c r="G74" s="3" t="s">
        <v>28</v>
      </c>
      <c r="H74" t="s">
        <v>46</v>
      </c>
      <c r="Q74">
        <v>16</v>
      </c>
      <c r="R74">
        <v>2</v>
      </c>
      <c r="T74" s="13">
        <f t="shared" si="1"/>
        <v>18</v>
      </c>
      <c r="U74" t="s">
        <v>144</v>
      </c>
    </row>
    <row r="75" spans="1:21" x14ac:dyDescent="0.3">
      <c r="A75">
        <v>3</v>
      </c>
      <c r="B75">
        <v>3</v>
      </c>
      <c r="C75">
        <v>207489</v>
      </c>
      <c r="D75" t="s">
        <v>252</v>
      </c>
      <c r="E75" s="10">
        <v>44085</v>
      </c>
      <c r="F75" t="s">
        <v>23</v>
      </c>
      <c r="G75" s="3" t="s">
        <v>28</v>
      </c>
      <c r="H75" t="s">
        <v>45</v>
      </c>
      <c r="K75">
        <v>7</v>
      </c>
      <c r="T75" s="13">
        <f t="shared" si="1"/>
        <v>7</v>
      </c>
      <c r="U75" t="s">
        <v>144</v>
      </c>
    </row>
    <row r="76" spans="1:21" x14ac:dyDescent="0.3">
      <c r="A76">
        <v>3</v>
      </c>
      <c r="B76">
        <v>3</v>
      </c>
      <c r="C76">
        <v>207489</v>
      </c>
      <c r="D76" t="s">
        <v>252</v>
      </c>
      <c r="E76" s="10">
        <v>44085</v>
      </c>
      <c r="F76" t="s">
        <v>23</v>
      </c>
      <c r="G76" s="3" t="s">
        <v>28</v>
      </c>
      <c r="H76" t="s">
        <v>56</v>
      </c>
      <c r="S76">
        <v>15</v>
      </c>
      <c r="T76" s="13">
        <f t="shared" si="1"/>
        <v>15</v>
      </c>
      <c r="U76" t="s">
        <v>144</v>
      </c>
    </row>
    <row r="77" spans="1:21" x14ac:dyDescent="0.3">
      <c r="A77">
        <v>3</v>
      </c>
      <c r="B77">
        <v>3</v>
      </c>
      <c r="C77">
        <v>207489</v>
      </c>
      <c r="D77" t="s">
        <v>252</v>
      </c>
      <c r="E77" s="10">
        <v>44085</v>
      </c>
      <c r="F77" t="s">
        <v>23</v>
      </c>
      <c r="G77" s="3" t="s">
        <v>28</v>
      </c>
      <c r="H77" t="s">
        <v>57</v>
      </c>
      <c r="S77">
        <v>9</v>
      </c>
      <c r="T77" s="13">
        <f t="shared" si="1"/>
        <v>9</v>
      </c>
      <c r="U77" t="s">
        <v>144</v>
      </c>
    </row>
    <row r="78" spans="1:21" x14ac:dyDescent="0.3">
      <c r="A78">
        <v>3</v>
      </c>
      <c r="B78">
        <v>3</v>
      </c>
      <c r="C78">
        <v>207489</v>
      </c>
      <c r="D78" t="s">
        <v>252</v>
      </c>
      <c r="E78" s="10">
        <v>44085</v>
      </c>
      <c r="F78" t="s">
        <v>23</v>
      </c>
      <c r="G78" s="3" t="s">
        <v>28</v>
      </c>
      <c r="H78" t="s">
        <v>257</v>
      </c>
      <c r="S78">
        <v>1</v>
      </c>
      <c r="T78" s="13">
        <f t="shared" si="1"/>
        <v>1</v>
      </c>
      <c r="U78" t="s">
        <v>144</v>
      </c>
    </row>
    <row r="79" spans="1:21" x14ac:dyDescent="0.3">
      <c r="A79">
        <v>3</v>
      </c>
      <c r="B79">
        <v>3</v>
      </c>
      <c r="C79">
        <v>207489</v>
      </c>
      <c r="D79" t="s">
        <v>252</v>
      </c>
      <c r="E79" s="10">
        <v>44085</v>
      </c>
      <c r="F79" t="s">
        <v>23</v>
      </c>
      <c r="G79" s="3" t="s">
        <v>28</v>
      </c>
      <c r="H79" t="s">
        <v>223</v>
      </c>
      <c r="S79">
        <v>1</v>
      </c>
      <c r="T79" s="13">
        <f t="shared" si="1"/>
        <v>1</v>
      </c>
      <c r="U79" t="s">
        <v>144</v>
      </c>
    </row>
    <row r="80" spans="1:21" x14ac:dyDescent="0.3">
      <c r="A80">
        <v>3</v>
      </c>
      <c r="B80">
        <v>3</v>
      </c>
      <c r="C80">
        <v>207489</v>
      </c>
      <c r="D80" t="s">
        <v>252</v>
      </c>
      <c r="E80" s="10">
        <v>44085</v>
      </c>
      <c r="F80" t="s">
        <v>23</v>
      </c>
      <c r="G80" s="3" t="s">
        <v>28</v>
      </c>
      <c r="H80" t="s">
        <v>41</v>
      </c>
      <c r="S80">
        <v>2</v>
      </c>
      <c r="T80" s="13">
        <f t="shared" si="1"/>
        <v>2</v>
      </c>
      <c r="U80" t="s">
        <v>144</v>
      </c>
    </row>
    <row r="81" spans="1:22" x14ac:dyDescent="0.3">
      <c r="A81">
        <v>3</v>
      </c>
      <c r="B81">
        <v>3</v>
      </c>
      <c r="C81">
        <v>207489</v>
      </c>
      <c r="D81" t="s">
        <v>252</v>
      </c>
      <c r="E81" s="10">
        <v>44085</v>
      </c>
      <c r="F81" t="s">
        <v>23</v>
      </c>
      <c r="G81" s="3" t="s">
        <v>28</v>
      </c>
      <c r="H81" t="s">
        <v>55</v>
      </c>
      <c r="S81">
        <v>3</v>
      </c>
      <c r="T81" s="13">
        <f t="shared" si="1"/>
        <v>3</v>
      </c>
      <c r="U81" t="s">
        <v>144</v>
      </c>
    </row>
    <row r="82" spans="1:22" x14ac:dyDescent="0.3">
      <c r="A82">
        <v>3</v>
      </c>
      <c r="B82">
        <v>3</v>
      </c>
      <c r="C82">
        <v>207489</v>
      </c>
      <c r="D82" t="s">
        <v>252</v>
      </c>
      <c r="E82" s="10">
        <v>44085</v>
      </c>
      <c r="F82" t="s">
        <v>23</v>
      </c>
      <c r="G82" s="3" t="s">
        <v>28</v>
      </c>
      <c r="H82" t="s">
        <v>51</v>
      </c>
      <c r="S82">
        <v>1</v>
      </c>
      <c r="T82" s="13">
        <f t="shared" si="1"/>
        <v>1</v>
      </c>
      <c r="U82" t="s">
        <v>144</v>
      </c>
    </row>
    <row r="83" spans="1:22" s="5" customFormat="1" ht="16.2" thickBot="1" x14ac:dyDescent="0.35">
      <c r="A83" s="5">
        <v>3</v>
      </c>
      <c r="B83" s="5">
        <v>3</v>
      </c>
      <c r="C83" s="5">
        <v>207489</v>
      </c>
      <c r="D83" s="5" t="s">
        <v>252</v>
      </c>
      <c r="E83" s="11">
        <v>44085</v>
      </c>
      <c r="F83" s="5" t="s">
        <v>23</v>
      </c>
      <c r="G83" s="6" t="s">
        <v>28</v>
      </c>
      <c r="H83" s="5" t="s">
        <v>163</v>
      </c>
      <c r="S83" s="5">
        <v>4</v>
      </c>
      <c r="T83" s="12">
        <f t="shared" si="1"/>
        <v>4</v>
      </c>
      <c r="U83" s="5" t="s">
        <v>144</v>
      </c>
      <c r="V83" s="14"/>
    </row>
    <row r="84" spans="1:22" x14ac:dyDescent="0.3">
      <c r="A84">
        <v>3</v>
      </c>
      <c r="B84">
        <v>4</v>
      </c>
      <c r="C84">
        <v>207490</v>
      </c>
      <c r="D84" t="s">
        <v>252</v>
      </c>
      <c r="E84" s="10">
        <v>44085</v>
      </c>
      <c r="F84" t="s">
        <v>23</v>
      </c>
      <c r="G84" s="3" t="s">
        <v>68</v>
      </c>
      <c r="H84" t="s">
        <v>25</v>
      </c>
      <c r="L84">
        <v>3</v>
      </c>
      <c r="M84">
        <v>4</v>
      </c>
      <c r="N84">
        <v>2</v>
      </c>
      <c r="O84">
        <v>1</v>
      </c>
      <c r="P84">
        <v>3</v>
      </c>
      <c r="T84" s="13">
        <f t="shared" si="1"/>
        <v>13</v>
      </c>
      <c r="U84" t="s">
        <v>144</v>
      </c>
    </row>
    <row r="85" spans="1:22" x14ac:dyDescent="0.3">
      <c r="A85">
        <v>3</v>
      </c>
      <c r="B85">
        <v>4</v>
      </c>
      <c r="C85">
        <v>207490</v>
      </c>
      <c r="D85" t="s">
        <v>252</v>
      </c>
      <c r="E85" s="10">
        <v>44085</v>
      </c>
      <c r="F85" t="s">
        <v>23</v>
      </c>
      <c r="G85" s="3" t="s">
        <v>28</v>
      </c>
      <c r="H85" t="s">
        <v>271</v>
      </c>
      <c r="S85">
        <v>1</v>
      </c>
      <c r="T85" s="13">
        <f t="shared" si="1"/>
        <v>1</v>
      </c>
      <c r="U85" t="s">
        <v>144</v>
      </c>
    </row>
    <row r="86" spans="1:22" x14ac:dyDescent="0.3">
      <c r="A86">
        <v>3</v>
      </c>
      <c r="B86">
        <v>4</v>
      </c>
      <c r="C86">
        <v>207490</v>
      </c>
      <c r="D86" t="s">
        <v>252</v>
      </c>
      <c r="E86" s="10">
        <v>44085</v>
      </c>
      <c r="F86" t="s">
        <v>23</v>
      </c>
      <c r="G86" s="3" t="s">
        <v>28</v>
      </c>
      <c r="H86" t="s">
        <v>30</v>
      </c>
      <c r="I86">
        <v>1</v>
      </c>
      <c r="J86">
        <v>22</v>
      </c>
      <c r="T86" s="13">
        <f t="shared" si="1"/>
        <v>23</v>
      </c>
      <c r="U86" t="s">
        <v>144</v>
      </c>
    </row>
    <row r="87" spans="1:22" x14ac:dyDescent="0.3">
      <c r="A87">
        <v>3</v>
      </c>
      <c r="B87">
        <v>4</v>
      </c>
      <c r="C87">
        <v>207490</v>
      </c>
      <c r="D87" t="s">
        <v>252</v>
      </c>
      <c r="E87" s="10">
        <v>44085</v>
      </c>
      <c r="F87" t="s">
        <v>23</v>
      </c>
      <c r="G87" s="3" t="s">
        <v>28</v>
      </c>
      <c r="H87" t="s">
        <v>253</v>
      </c>
      <c r="J87">
        <v>14</v>
      </c>
      <c r="O87">
        <v>6</v>
      </c>
      <c r="P87">
        <v>6</v>
      </c>
      <c r="T87" s="13">
        <f t="shared" si="1"/>
        <v>26</v>
      </c>
      <c r="U87" t="s">
        <v>144</v>
      </c>
    </row>
    <row r="88" spans="1:22" x14ac:dyDescent="0.3">
      <c r="A88">
        <v>3</v>
      </c>
      <c r="B88">
        <v>4</v>
      </c>
      <c r="C88">
        <v>207490</v>
      </c>
      <c r="D88" t="s">
        <v>252</v>
      </c>
      <c r="E88" s="10">
        <v>44085</v>
      </c>
      <c r="F88" t="s">
        <v>23</v>
      </c>
      <c r="G88" s="3" t="s">
        <v>28</v>
      </c>
      <c r="H88" t="s">
        <v>44</v>
      </c>
      <c r="J88">
        <v>6</v>
      </c>
      <c r="O88">
        <v>8</v>
      </c>
      <c r="P88">
        <v>1</v>
      </c>
      <c r="T88" s="13">
        <f t="shared" si="1"/>
        <v>15</v>
      </c>
      <c r="U88" t="s">
        <v>144</v>
      </c>
    </row>
    <row r="89" spans="1:22" x14ac:dyDescent="0.3">
      <c r="A89">
        <v>3</v>
      </c>
      <c r="B89">
        <v>4</v>
      </c>
      <c r="C89">
        <v>207490</v>
      </c>
      <c r="D89" t="s">
        <v>252</v>
      </c>
      <c r="E89" s="10">
        <v>44085</v>
      </c>
      <c r="F89" t="s">
        <v>23</v>
      </c>
      <c r="G89" s="3" t="s">
        <v>28</v>
      </c>
      <c r="H89" t="s">
        <v>32</v>
      </c>
      <c r="O89">
        <v>5</v>
      </c>
      <c r="T89" s="13">
        <f t="shared" si="1"/>
        <v>5</v>
      </c>
      <c r="U89" t="s">
        <v>144</v>
      </c>
    </row>
    <row r="90" spans="1:22" x14ac:dyDescent="0.3">
      <c r="A90">
        <v>3</v>
      </c>
      <c r="B90">
        <v>4</v>
      </c>
      <c r="C90">
        <v>207490</v>
      </c>
      <c r="D90" t="s">
        <v>252</v>
      </c>
      <c r="E90" s="10">
        <v>44085</v>
      </c>
      <c r="F90" t="s">
        <v>23</v>
      </c>
      <c r="G90" s="3" t="s">
        <v>28</v>
      </c>
      <c r="H90" t="s">
        <v>31</v>
      </c>
      <c r="O90">
        <v>2</v>
      </c>
      <c r="P90">
        <v>3</v>
      </c>
      <c r="Q90">
        <v>6</v>
      </c>
      <c r="R90">
        <v>1</v>
      </c>
      <c r="T90" s="13">
        <f t="shared" si="1"/>
        <v>12</v>
      </c>
      <c r="U90" t="s">
        <v>144</v>
      </c>
    </row>
    <row r="91" spans="1:22" x14ac:dyDescent="0.3">
      <c r="A91">
        <v>3</v>
      </c>
      <c r="B91">
        <v>4</v>
      </c>
      <c r="C91">
        <v>207490</v>
      </c>
      <c r="D91" t="s">
        <v>252</v>
      </c>
      <c r="E91" s="10">
        <v>44085</v>
      </c>
      <c r="F91" t="s">
        <v>23</v>
      </c>
      <c r="G91" s="3" t="s">
        <v>28</v>
      </c>
      <c r="H91" t="s">
        <v>37</v>
      </c>
      <c r="O91">
        <v>6</v>
      </c>
      <c r="P91">
        <v>1</v>
      </c>
      <c r="R91">
        <v>2</v>
      </c>
      <c r="T91" s="13">
        <f t="shared" si="1"/>
        <v>9</v>
      </c>
      <c r="U91" t="s">
        <v>144</v>
      </c>
    </row>
    <row r="92" spans="1:22" x14ac:dyDescent="0.3">
      <c r="A92">
        <v>3</v>
      </c>
      <c r="B92">
        <v>4</v>
      </c>
      <c r="C92">
        <v>207490</v>
      </c>
      <c r="D92" t="s">
        <v>252</v>
      </c>
      <c r="E92" s="10">
        <v>44085</v>
      </c>
      <c r="F92" t="s">
        <v>23</v>
      </c>
      <c r="G92" s="3" t="s">
        <v>28</v>
      </c>
      <c r="H92" t="s">
        <v>98</v>
      </c>
      <c r="Q92">
        <v>1</v>
      </c>
      <c r="T92" s="13">
        <f t="shared" si="1"/>
        <v>1</v>
      </c>
      <c r="U92" t="s">
        <v>144</v>
      </c>
    </row>
    <row r="93" spans="1:22" x14ac:dyDescent="0.3">
      <c r="A93">
        <v>3</v>
      </c>
      <c r="B93">
        <v>4</v>
      </c>
      <c r="C93">
        <v>207490</v>
      </c>
      <c r="D93" t="s">
        <v>252</v>
      </c>
      <c r="E93" s="10">
        <v>44085</v>
      </c>
      <c r="F93" t="s">
        <v>23</v>
      </c>
      <c r="G93" s="3" t="s">
        <v>28</v>
      </c>
      <c r="H93" t="s">
        <v>71</v>
      </c>
      <c r="Q93">
        <v>6</v>
      </c>
      <c r="R93">
        <v>13</v>
      </c>
      <c r="T93" s="13">
        <f t="shared" si="1"/>
        <v>19</v>
      </c>
      <c r="U93" t="s">
        <v>144</v>
      </c>
    </row>
    <row r="94" spans="1:22" x14ac:dyDescent="0.3">
      <c r="A94">
        <v>3</v>
      </c>
      <c r="B94">
        <v>4</v>
      </c>
      <c r="C94">
        <v>207490</v>
      </c>
      <c r="D94" t="s">
        <v>252</v>
      </c>
      <c r="E94" s="10">
        <v>44085</v>
      </c>
      <c r="F94" t="s">
        <v>23</v>
      </c>
      <c r="G94" s="3" t="s">
        <v>28</v>
      </c>
      <c r="H94" t="s">
        <v>150</v>
      </c>
      <c r="Q94">
        <v>2</v>
      </c>
      <c r="R94">
        <v>2</v>
      </c>
      <c r="T94" s="13">
        <f t="shared" si="1"/>
        <v>4</v>
      </c>
      <c r="U94" t="s">
        <v>144</v>
      </c>
    </row>
    <row r="95" spans="1:22" x14ac:dyDescent="0.3">
      <c r="A95">
        <v>3</v>
      </c>
      <c r="B95">
        <v>4</v>
      </c>
      <c r="C95">
        <v>207490</v>
      </c>
      <c r="D95" t="s">
        <v>252</v>
      </c>
      <c r="E95" s="10">
        <v>44085</v>
      </c>
      <c r="F95" t="s">
        <v>23</v>
      </c>
      <c r="G95" s="3" t="s">
        <v>28</v>
      </c>
      <c r="H95" t="s">
        <v>33</v>
      </c>
      <c r="Q95">
        <v>5</v>
      </c>
      <c r="R95">
        <v>1</v>
      </c>
      <c r="T95" s="13">
        <f t="shared" si="1"/>
        <v>6</v>
      </c>
      <c r="U95" t="s">
        <v>144</v>
      </c>
    </row>
    <row r="96" spans="1:22" x14ac:dyDescent="0.3">
      <c r="A96">
        <v>3</v>
      </c>
      <c r="B96">
        <v>4</v>
      </c>
      <c r="C96">
        <v>207490</v>
      </c>
      <c r="D96" t="s">
        <v>252</v>
      </c>
      <c r="E96" s="10">
        <v>44085</v>
      </c>
      <c r="F96" t="s">
        <v>23</v>
      </c>
      <c r="G96" s="3" t="s">
        <v>28</v>
      </c>
      <c r="H96" t="s">
        <v>38</v>
      </c>
      <c r="P96">
        <v>4</v>
      </c>
      <c r="Q96">
        <v>1</v>
      </c>
      <c r="R96">
        <v>1</v>
      </c>
      <c r="T96" s="13">
        <f t="shared" si="1"/>
        <v>6</v>
      </c>
      <c r="U96" t="s">
        <v>144</v>
      </c>
    </row>
    <row r="97" spans="1:22" x14ac:dyDescent="0.3">
      <c r="A97">
        <v>3</v>
      </c>
      <c r="B97">
        <v>4</v>
      </c>
      <c r="C97">
        <v>207490</v>
      </c>
      <c r="D97" t="s">
        <v>252</v>
      </c>
      <c r="E97" s="10">
        <v>44085</v>
      </c>
      <c r="F97" t="s">
        <v>23</v>
      </c>
      <c r="G97" s="3" t="s">
        <v>28</v>
      </c>
      <c r="H97" t="s">
        <v>43</v>
      </c>
      <c r="K97">
        <v>4</v>
      </c>
      <c r="Q97">
        <v>6</v>
      </c>
      <c r="R97">
        <v>1</v>
      </c>
      <c r="T97" s="13">
        <f t="shared" si="1"/>
        <v>11</v>
      </c>
      <c r="U97" t="s">
        <v>144</v>
      </c>
    </row>
    <row r="98" spans="1:22" x14ac:dyDescent="0.3">
      <c r="A98">
        <v>3</v>
      </c>
      <c r="B98">
        <v>4</v>
      </c>
      <c r="C98">
        <v>207490</v>
      </c>
      <c r="D98" t="s">
        <v>252</v>
      </c>
      <c r="E98" s="10">
        <v>44085</v>
      </c>
      <c r="F98" t="s">
        <v>23</v>
      </c>
      <c r="G98" s="3" t="s">
        <v>28</v>
      </c>
      <c r="H98" t="s">
        <v>46</v>
      </c>
      <c r="Q98">
        <v>28</v>
      </c>
      <c r="R98">
        <v>2</v>
      </c>
      <c r="T98" s="13">
        <f t="shared" si="1"/>
        <v>30</v>
      </c>
      <c r="U98" t="s">
        <v>144</v>
      </c>
    </row>
    <row r="99" spans="1:22" x14ac:dyDescent="0.3">
      <c r="A99">
        <v>3</v>
      </c>
      <c r="B99">
        <v>4</v>
      </c>
      <c r="C99">
        <v>207490</v>
      </c>
      <c r="D99" t="s">
        <v>252</v>
      </c>
      <c r="E99" s="10">
        <v>44085</v>
      </c>
      <c r="F99" t="s">
        <v>23</v>
      </c>
      <c r="G99" s="3" t="s">
        <v>28</v>
      </c>
      <c r="H99" t="s">
        <v>45</v>
      </c>
      <c r="K99">
        <v>18</v>
      </c>
      <c r="T99" s="13">
        <f t="shared" si="1"/>
        <v>18</v>
      </c>
      <c r="U99" t="s">
        <v>144</v>
      </c>
    </row>
    <row r="100" spans="1:22" x14ac:dyDescent="0.3">
      <c r="A100">
        <v>3</v>
      </c>
      <c r="B100">
        <v>4</v>
      </c>
      <c r="C100">
        <v>207490</v>
      </c>
      <c r="D100" t="s">
        <v>252</v>
      </c>
      <c r="E100" s="10">
        <v>44085</v>
      </c>
      <c r="F100" t="s">
        <v>23</v>
      </c>
      <c r="G100" s="3" t="s">
        <v>28</v>
      </c>
      <c r="H100" t="s">
        <v>56</v>
      </c>
      <c r="S100">
        <v>52</v>
      </c>
      <c r="T100" s="13">
        <f t="shared" si="1"/>
        <v>52</v>
      </c>
      <c r="U100" t="s">
        <v>144</v>
      </c>
    </row>
    <row r="101" spans="1:22" x14ac:dyDescent="0.3">
      <c r="A101">
        <v>3</v>
      </c>
      <c r="B101">
        <v>4</v>
      </c>
      <c r="C101">
        <v>207490</v>
      </c>
      <c r="D101" t="s">
        <v>252</v>
      </c>
      <c r="E101" s="10">
        <v>44085</v>
      </c>
      <c r="F101" t="s">
        <v>23</v>
      </c>
      <c r="G101" s="3" t="s">
        <v>28</v>
      </c>
      <c r="H101" t="s">
        <v>57</v>
      </c>
      <c r="S101">
        <v>65</v>
      </c>
      <c r="T101" s="13">
        <f t="shared" si="1"/>
        <v>65</v>
      </c>
      <c r="U101" t="s">
        <v>144</v>
      </c>
    </row>
    <row r="102" spans="1:22" s="5" customFormat="1" ht="16.2" thickBot="1" x14ac:dyDescent="0.35">
      <c r="A102" s="5">
        <v>3</v>
      </c>
      <c r="B102" s="5">
        <v>4</v>
      </c>
      <c r="C102" s="5">
        <v>207490</v>
      </c>
      <c r="D102" s="5" t="s">
        <v>252</v>
      </c>
      <c r="E102" s="11">
        <v>44085</v>
      </c>
      <c r="F102" s="5" t="s">
        <v>23</v>
      </c>
      <c r="G102" s="6" t="s">
        <v>28</v>
      </c>
      <c r="H102" s="5" t="s">
        <v>51</v>
      </c>
      <c r="S102" s="5">
        <v>5</v>
      </c>
      <c r="T102" s="12">
        <f t="shared" si="1"/>
        <v>5</v>
      </c>
      <c r="U102" s="5" t="s">
        <v>144</v>
      </c>
      <c r="V102" s="14"/>
    </row>
    <row r="103" spans="1:22" x14ac:dyDescent="0.3">
      <c r="A103">
        <v>3</v>
      </c>
      <c r="B103">
        <v>5</v>
      </c>
      <c r="C103">
        <v>207491</v>
      </c>
      <c r="D103" t="s">
        <v>252</v>
      </c>
      <c r="E103" s="10">
        <v>44085</v>
      </c>
      <c r="F103" t="s">
        <v>23</v>
      </c>
      <c r="G103" s="3" t="s">
        <v>54</v>
      </c>
      <c r="H103" t="s">
        <v>25</v>
      </c>
      <c r="M103">
        <v>1</v>
      </c>
      <c r="P103">
        <v>2</v>
      </c>
      <c r="T103" s="13">
        <f t="shared" ref="T103:T119" si="2">SUM(I103:S103)</f>
        <v>3</v>
      </c>
      <c r="U103" t="s">
        <v>144</v>
      </c>
    </row>
    <row r="104" spans="1:22" x14ac:dyDescent="0.3">
      <c r="A104">
        <v>3</v>
      </c>
      <c r="B104">
        <v>5</v>
      </c>
      <c r="C104">
        <v>207491</v>
      </c>
      <c r="D104" t="s">
        <v>252</v>
      </c>
      <c r="E104" s="10">
        <v>44085</v>
      </c>
      <c r="F104" t="s">
        <v>23</v>
      </c>
      <c r="G104" s="3" t="s">
        <v>90</v>
      </c>
      <c r="H104" t="s">
        <v>223</v>
      </c>
      <c r="S104">
        <v>1</v>
      </c>
      <c r="T104" s="13">
        <f t="shared" si="2"/>
        <v>1</v>
      </c>
      <c r="U104" t="s">
        <v>144</v>
      </c>
    </row>
    <row r="105" spans="1:22" x14ac:dyDescent="0.3">
      <c r="A105">
        <v>3</v>
      </c>
      <c r="B105">
        <v>5</v>
      </c>
      <c r="C105">
        <v>207491</v>
      </c>
      <c r="D105" t="s">
        <v>252</v>
      </c>
      <c r="E105" s="10">
        <v>44085</v>
      </c>
      <c r="F105" t="s">
        <v>23</v>
      </c>
      <c r="G105" s="3" t="s">
        <v>90</v>
      </c>
      <c r="H105" t="s">
        <v>49</v>
      </c>
      <c r="S105">
        <v>1</v>
      </c>
      <c r="T105" s="13">
        <f t="shared" si="2"/>
        <v>1</v>
      </c>
      <c r="U105" t="s">
        <v>144</v>
      </c>
    </row>
    <row r="106" spans="1:22" x14ac:dyDescent="0.3">
      <c r="A106">
        <v>3</v>
      </c>
      <c r="B106">
        <v>5</v>
      </c>
      <c r="C106">
        <v>207491</v>
      </c>
      <c r="D106" t="s">
        <v>252</v>
      </c>
      <c r="E106" s="10">
        <v>44085</v>
      </c>
      <c r="F106" t="s">
        <v>23</v>
      </c>
      <c r="G106" s="3" t="s">
        <v>90</v>
      </c>
      <c r="H106" t="s">
        <v>51</v>
      </c>
      <c r="S106">
        <v>5</v>
      </c>
      <c r="T106" s="13">
        <f t="shared" si="2"/>
        <v>5</v>
      </c>
      <c r="U106" t="s">
        <v>144</v>
      </c>
    </row>
    <row r="107" spans="1:22" x14ac:dyDescent="0.3">
      <c r="A107">
        <v>3</v>
      </c>
      <c r="B107">
        <v>5</v>
      </c>
      <c r="C107">
        <v>207491</v>
      </c>
      <c r="D107" t="s">
        <v>252</v>
      </c>
      <c r="E107" s="10">
        <v>44085</v>
      </c>
      <c r="F107" t="s">
        <v>23</v>
      </c>
      <c r="G107" s="3" t="s">
        <v>90</v>
      </c>
      <c r="H107" t="s">
        <v>56</v>
      </c>
      <c r="S107">
        <v>52</v>
      </c>
      <c r="T107" s="13">
        <f t="shared" si="2"/>
        <v>52</v>
      </c>
      <c r="U107" t="s">
        <v>144</v>
      </c>
    </row>
    <row r="108" spans="1:22" x14ac:dyDescent="0.3">
      <c r="A108">
        <v>3</v>
      </c>
      <c r="B108">
        <v>5</v>
      </c>
      <c r="C108">
        <v>207491</v>
      </c>
      <c r="D108" t="s">
        <v>252</v>
      </c>
      <c r="E108" s="10">
        <v>44085</v>
      </c>
      <c r="F108" t="s">
        <v>23</v>
      </c>
      <c r="G108" s="3" t="s">
        <v>90</v>
      </c>
      <c r="H108" t="s">
        <v>57</v>
      </c>
      <c r="S108">
        <v>67</v>
      </c>
      <c r="T108" s="13">
        <f t="shared" si="2"/>
        <v>67</v>
      </c>
      <c r="U108" t="s">
        <v>144</v>
      </c>
    </row>
    <row r="109" spans="1:22" x14ac:dyDescent="0.3">
      <c r="A109">
        <v>3</v>
      </c>
      <c r="B109">
        <v>5</v>
      </c>
      <c r="C109">
        <v>207491</v>
      </c>
      <c r="D109" t="s">
        <v>252</v>
      </c>
      <c r="E109" s="10">
        <v>44085</v>
      </c>
      <c r="F109" t="s">
        <v>23</v>
      </c>
      <c r="G109" s="3" t="s">
        <v>90</v>
      </c>
      <c r="H109" t="s">
        <v>30</v>
      </c>
      <c r="I109">
        <v>1</v>
      </c>
      <c r="J109">
        <v>13</v>
      </c>
      <c r="T109" s="13">
        <f t="shared" si="2"/>
        <v>14</v>
      </c>
      <c r="U109" t="s">
        <v>144</v>
      </c>
    </row>
    <row r="110" spans="1:22" x14ac:dyDescent="0.3">
      <c r="A110">
        <v>3</v>
      </c>
      <c r="B110">
        <v>5</v>
      </c>
      <c r="C110">
        <v>207491</v>
      </c>
      <c r="D110" t="s">
        <v>252</v>
      </c>
      <c r="E110" s="10">
        <v>44085</v>
      </c>
      <c r="F110" t="s">
        <v>23</v>
      </c>
      <c r="G110" s="3" t="s">
        <v>90</v>
      </c>
      <c r="H110" t="s">
        <v>253</v>
      </c>
      <c r="J110">
        <v>4</v>
      </c>
      <c r="T110" s="13">
        <f t="shared" si="2"/>
        <v>4</v>
      </c>
      <c r="U110" t="s">
        <v>144</v>
      </c>
    </row>
    <row r="111" spans="1:22" x14ac:dyDescent="0.3">
      <c r="A111">
        <v>3</v>
      </c>
      <c r="B111">
        <v>5</v>
      </c>
      <c r="C111">
        <v>207491</v>
      </c>
      <c r="D111" t="s">
        <v>252</v>
      </c>
      <c r="E111" s="10">
        <v>44085</v>
      </c>
      <c r="F111" t="s">
        <v>23</v>
      </c>
      <c r="G111" s="3" t="s">
        <v>90</v>
      </c>
      <c r="H111" t="s">
        <v>31</v>
      </c>
      <c r="O111">
        <v>2</v>
      </c>
      <c r="P111">
        <v>2</v>
      </c>
      <c r="Q111">
        <v>2</v>
      </c>
      <c r="T111" s="13">
        <f t="shared" si="2"/>
        <v>6</v>
      </c>
      <c r="U111" t="s">
        <v>144</v>
      </c>
    </row>
    <row r="112" spans="1:22" x14ac:dyDescent="0.3">
      <c r="A112">
        <v>3</v>
      </c>
      <c r="B112">
        <v>5</v>
      </c>
      <c r="C112">
        <v>207491</v>
      </c>
      <c r="D112" t="s">
        <v>252</v>
      </c>
      <c r="E112" s="10">
        <v>44085</v>
      </c>
      <c r="F112" t="s">
        <v>23</v>
      </c>
      <c r="G112" s="3" t="s">
        <v>90</v>
      </c>
      <c r="H112" t="s">
        <v>37</v>
      </c>
      <c r="O112">
        <v>3</v>
      </c>
      <c r="Q112">
        <v>2</v>
      </c>
      <c r="T112" s="13">
        <f t="shared" si="2"/>
        <v>5</v>
      </c>
      <c r="U112" t="s">
        <v>144</v>
      </c>
    </row>
    <row r="113" spans="1:22" x14ac:dyDescent="0.3">
      <c r="A113">
        <v>3</v>
      </c>
      <c r="B113">
        <v>5</v>
      </c>
      <c r="C113">
        <v>207491</v>
      </c>
      <c r="D113" t="s">
        <v>252</v>
      </c>
      <c r="E113" s="10">
        <v>44085</v>
      </c>
      <c r="F113" t="s">
        <v>23</v>
      </c>
      <c r="G113" s="3" t="s">
        <v>90</v>
      </c>
      <c r="H113" t="s">
        <v>32</v>
      </c>
      <c r="O113">
        <v>6</v>
      </c>
      <c r="T113" s="13">
        <f t="shared" si="2"/>
        <v>6</v>
      </c>
      <c r="U113" t="s">
        <v>144</v>
      </c>
    </row>
    <row r="114" spans="1:22" x14ac:dyDescent="0.3">
      <c r="A114">
        <v>3</v>
      </c>
      <c r="B114">
        <v>5</v>
      </c>
      <c r="C114">
        <v>207491</v>
      </c>
      <c r="D114" t="s">
        <v>252</v>
      </c>
      <c r="E114" s="10">
        <v>44085</v>
      </c>
      <c r="F114" t="s">
        <v>23</v>
      </c>
      <c r="G114" s="3" t="s">
        <v>90</v>
      </c>
      <c r="H114" t="s">
        <v>98</v>
      </c>
      <c r="Q114">
        <v>2</v>
      </c>
      <c r="T114" s="13">
        <f t="shared" si="2"/>
        <v>2</v>
      </c>
      <c r="U114" t="s">
        <v>144</v>
      </c>
    </row>
    <row r="115" spans="1:22" x14ac:dyDescent="0.3">
      <c r="A115">
        <v>3</v>
      </c>
      <c r="B115">
        <v>5</v>
      </c>
      <c r="C115">
        <v>207491</v>
      </c>
      <c r="D115" t="s">
        <v>252</v>
      </c>
      <c r="E115" s="10">
        <v>44085</v>
      </c>
      <c r="F115" t="s">
        <v>23</v>
      </c>
      <c r="G115" s="3" t="s">
        <v>90</v>
      </c>
      <c r="H115" t="s">
        <v>33</v>
      </c>
      <c r="P115">
        <v>2</v>
      </c>
      <c r="R115">
        <v>1</v>
      </c>
      <c r="T115" s="13">
        <f t="shared" si="2"/>
        <v>3</v>
      </c>
      <c r="U115" t="s">
        <v>144</v>
      </c>
    </row>
    <row r="116" spans="1:22" x14ac:dyDescent="0.3">
      <c r="A116">
        <v>3</v>
      </c>
      <c r="B116">
        <v>5</v>
      </c>
      <c r="C116">
        <v>207491</v>
      </c>
      <c r="D116" t="s">
        <v>252</v>
      </c>
      <c r="E116" s="10">
        <v>44085</v>
      </c>
      <c r="F116" t="s">
        <v>23</v>
      </c>
      <c r="G116" s="3" t="s">
        <v>90</v>
      </c>
      <c r="H116" t="s">
        <v>38</v>
      </c>
      <c r="P116">
        <v>3</v>
      </c>
      <c r="R116">
        <v>1</v>
      </c>
      <c r="T116" s="13">
        <f t="shared" si="2"/>
        <v>4</v>
      </c>
      <c r="U116" t="s">
        <v>144</v>
      </c>
    </row>
    <row r="117" spans="1:22" x14ac:dyDescent="0.3">
      <c r="A117">
        <v>3</v>
      </c>
      <c r="B117">
        <v>5</v>
      </c>
      <c r="C117">
        <v>207491</v>
      </c>
      <c r="D117" t="s">
        <v>252</v>
      </c>
      <c r="E117" s="10">
        <v>44085</v>
      </c>
      <c r="F117" t="s">
        <v>23</v>
      </c>
      <c r="G117" s="3" t="s">
        <v>90</v>
      </c>
      <c r="H117" t="s">
        <v>71</v>
      </c>
      <c r="R117">
        <v>16</v>
      </c>
      <c r="T117" s="13">
        <f t="shared" si="2"/>
        <v>16</v>
      </c>
      <c r="U117" t="s">
        <v>144</v>
      </c>
    </row>
    <row r="118" spans="1:22" x14ac:dyDescent="0.3">
      <c r="A118">
        <v>3</v>
      </c>
      <c r="B118">
        <v>5</v>
      </c>
      <c r="C118">
        <v>207491</v>
      </c>
      <c r="D118" t="s">
        <v>252</v>
      </c>
      <c r="E118" s="10">
        <v>44085</v>
      </c>
      <c r="F118" t="s">
        <v>23</v>
      </c>
      <c r="G118" s="3" t="s">
        <v>90</v>
      </c>
      <c r="H118" t="s">
        <v>46</v>
      </c>
      <c r="Q118">
        <v>9</v>
      </c>
      <c r="R118">
        <v>3</v>
      </c>
      <c r="T118" s="13">
        <f t="shared" si="2"/>
        <v>12</v>
      </c>
      <c r="U118" t="s">
        <v>144</v>
      </c>
    </row>
    <row r="119" spans="1:22" s="5" customFormat="1" ht="16.2" thickBot="1" x14ac:dyDescent="0.35">
      <c r="A119" s="5">
        <v>3</v>
      </c>
      <c r="B119" s="5">
        <v>5</v>
      </c>
      <c r="C119" s="5">
        <v>207491</v>
      </c>
      <c r="D119" s="5" t="s">
        <v>252</v>
      </c>
      <c r="E119" s="11">
        <v>44085</v>
      </c>
      <c r="F119" s="5" t="s">
        <v>23</v>
      </c>
      <c r="G119" s="6" t="s">
        <v>90</v>
      </c>
      <c r="H119" s="5" t="s">
        <v>45</v>
      </c>
      <c r="K119" s="5">
        <v>18</v>
      </c>
      <c r="T119" s="12">
        <f t="shared" si="2"/>
        <v>18</v>
      </c>
      <c r="U119" s="5" t="s">
        <v>144</v>
      </c>
      <c r="V119" s="14"/>
    </row>
    <row r="120" spans="1:22" x14ac:dyDescent="0.3">
      <c r="A120">
        <v>4</v>
      </c>
      <c r="B120">
        <v>1</v>
      </c>
      <c r="C120">
        <v>207492</v>
      </c>
      <c r="D120" t="s">
        <v>22</v>
      </c>
      <c r="E120" s="10">
        <v>44093</v>
      </c>
      <c r="F120" t="s">
        <v>23</v>
      </c>
      <c r="G120" s="3" t="s">
        <v>52</v>
      </c>
      <c r="H120" t="s">
        <v>141</v>
      </c>
      <c r="S120">
        <v>4</v>
      </c>
      <c r="T120" s="13">
        <f t="shared" ref="T120" si="3">SUM(I120:S120)</f>
        <v>4</v>
      </c>
      <c r="U120" t="s">
        <v>143</v>
      </c>
      <c r="V120" s="15" t="s">
        <v>148</v>
      </c>
    </row>
    <row r="121" spans="1:22" x14ac:dyDescent="0.3">
      <c r="A121">
        <v>4</v>
      </c>
      <c r="B121">
        <v>1</v>
      </c>
      <c r="C121">
        <v>207492</v>
      </c>
      <c r="D121" t="s">
        <v>22</v>
      </c>
      <c r="E121" s="10">
        <v>44093</v>
      </c>
      <c r="F121" t="s">
        <v>23</v>
      </c>
      <c r="G121" s="3" t="s">
        <v>52</v>
      </c>
      <c r="H121" t="s">
        <v>51</v>
      </c>
      <c r="S121">
        <v>1</v>
      </c>
      <c r="T121" s="13">
        <f t="shared" ref="T121:T183" si="4">SUM(I121:S121)</f>
        <v>1</v>
      </c>
      <c r="U121" t="s">
        <v>144</v>
      </c>
    </row>
    <row r="122" spans="1:22" x14ac:dyDescent="0.3">
      <c r="A122">
        <v>4</v>
      </c>
      <c r="B122">
        <v>1</v>
      </c>
      <c r="C122">
        <v>207492</v>
      </c>
      <c r="D122" t="s">
        <v>22</v>
      </c>
      <c r="E122" s="10">
        <v>44093</v>
      </c>
      <c r="F122" t="s">
        <v>23</v>
      </c>
      <c r="G122" s="3" t="s">
        <v>52</v>
      </c>
      <c r="H122" t="s">
        <v>34</v>
      </c>
      <c r="P122">
        <v>1</v>
      </c>
      <c r="T122" s="13">
        <f t="shared" si="4"/>
        <v>1</v>
      </c>
      <c r="U122" t="s">
        <v>144</v>
      </c>
    </row>
    <row r="123" spans="1:22" x14ac:dyDescent="0.3">
      <c r="A123">
        <v>4</v>
      </c>
      <c r="B123">
        <v>1</v>
      </c>
      <c r="C123">
        <v>207492</v>
      </c>
      <c r="D123" t="s">
        <v>22</v>
      </c>
      <c r="E123" s="10">
        <v>44093</v>
      </c>
      <c r="F123" t="s">
        <v>23</v>
      </c>
      <c r="G123" s="3" t="s">
        <v>52</v>
      </c>
      <c r="H123" t="s">
        <v>31</v>
      </c>
      <c r="Q123">
        <v>1</v>
      </c>
      <c r="T123" s="13">
        <f t="shared" si="4"/>
        <v>1</v>
      </c>
      <c r="U123" t="s">
        <v>144</v>
      </c>
    </row>
    <row r="124" spans="1:22" x14ac:dyDescent="0.3">
      <c r="A124">
        <v>4</v>
      </c>
      <c r="B124">
        <v>1</v>
      </c>
      <c r="C124">
        <v>207492</v>
      </c>
      <c r="D124" t="s">
        <v>22</v>
      </c>
      <c r="E124" s="10">
        <v>44093</v>
      </c>
      <c r="F124" t="s">
        <v>23</v>
      </c>
      <c r="G124" s="3" t="s">
        <v>52</v>
      </c>
      <c r="H124" t="s">
        <v>38</v>
      </c>
      <c r="Q124">
        <v>2</v>
      </c>
      <c r="T124" s="13">
        <f t="shared" si="4"/>
        <v>2</v>
      </c>
      <c r="U124" t="s">
        <v>144</v>
      </c>
    </row>
    <row r="125" spans="1:22" x14ac:dyDescent="0.3">
      <c r="A125">
        <v>4</v>
      </c>
      <c r="B125">
        <v>1</v>
      </c>
      <c r="C125">
        <v>207492</v>
      </c>
      <c r="D125" t="s">
        <v>22</v>
      </c>
      <c r="E125" s="10">
        <v>44093</v>
      </c>
      <c r="F125" t="s">
        <v>23</v>
      </c>
      <c r="G125" s="3" t="s">
        <v>48</v>
      </c>
      <c r="H125" t="s">
        <v>25</v>
      </c>
      <c r="I125">
        <v>1</v>
      </c>
      <c r="N125">
        <v>7</v>
      </c>
      <c r="O125">
        <v>12</v>
      </c>
      <c r="P125">
        <v>53</v>
      </c>
      <c r="Q125">
        <v>6</v>
      </c>
      <c r="R125">
        <v>2</v>
      </c>
      <c r="T125" s="13">
        <f t="shared" si="4"/>
        <v>81</v>
      </c>
      <c r="U125" t="s">
        <v>144</v>
      </c>
    </row>
    <row r="126" spans="1:22" x14ac:dyDescent="0.3">
      <c r="A126">
        <v>4</v>
      </c>
      <c r="B126">
        <v>1</v>
      </c>
      <c r="C126">
        <v>207492</v>
      </c>
      <c r="D126" t="s">
        <v>22</v>
      </c>
      <c r="E126" s="10">
        <v>44093</v>
      </c>
      <c r="F126" t="s">
        <v>23</v>
      </c>
      <c r="G126" s="3" t="s">
        <v>73</v>
      </c>
      <c r="H126" t="s">
        <v>30</v>
      </c>
      <c r="I126">
        <v>2</v>
      </c>
      <c r="J126">
        <v>4</v>
      </c>
      <c r="T126" s="13">
        <f t="shared" si="4"/>
        <v>6</v>
      </c>
      <c r="U126" t="s">
        <v>144</v>
      </c>
    </row>
    <row r="127" spans="1:22" x14ac:dyDescent="0.3">
      <c r="A127">
        <v>4</v>
      </c>
      <c r="B127">
        <v>1</v>
      </c>
      <c r="C127">
        <v>207492</v>
      </c>
      <c r="D127" t="s">
        <v>22</v>
      </c>
      <c r="E127" s="10">
        <v>44093</v>
      </c>
      <c r="F127" t="s">
        <v>23</v>
      </c>
      <c r="G127" s="3" t="s">
        <v>73</v>
      </c>
      <c r="H127" t="s">
        <v>67</v>
      </c>
      <c r="M127">
        <v>1</v>
      </c>
      <c r="T127" s="13">
        <f t="shared" si="4"/>
        <v>1</v>
      </c>
      <c r="U127" t="s">
        <v>144</v>
      </c>
    </row>
    <row r="128" spans="1:22" x14ac:dyDescent="0.3">
      <c r="A128">
        <v>4</v>
      </c>
      <c r="B128">
        <v>1</v>
      </c>
      <c r="C128">
        <v>207492</v>
      </c>
      <c r="D128" t="s">
        <v>22</v>
      </c>
      <c r="E128" s="10">
        <v>44093</v>
      </c>
      <c r="F128" t="s">
        <v>23</v>
      </c>
      <c r="G128" s="3" t="s">
        <v>73</v>
      </c>
      <c r="H128" t="s">
        <v>142</v>
      </c>
      <c r="S128">
        <v>2</v>
      </c>
      <c r="T128" s="13">
        <f t="shared" si="4"/>
        <v>2</v>
      </c>
      <c r="U128" t="s">
        <v>144</v>
      </c>
    </row>
    <row r="129" spans="1:22" x14ac:dyDescent="0.3">
      <c r="A129">
        <v>4</v>
      </c>
      <c r="B129">
        <v>1</v>
      </c>
      <c r="C129">
        <v>207492</v>
      </c>
      <c r="D129" t="s">
        <v>22</v>
      </c>
      <c r="E129" s="10">
        <v>44093</v>
      </c>
      <c r="F129" t="s">
        <v>23</v>
      </c>
      <c r="G129" s="3" t="s">
        <v>73</v>
      </c>
      <c r="H129" t="s">
        <v>98</v>
      </c>
      <c r="Q129">
        <v>2</v>
      </c>
      <c r="T129" s="13">
        <f t="shared" si="4"/>
        <v>2</v>
      </c>
      <c r="U129" t="s">
        <v>144</v>
      </c>
    </row>
    <row r="130" spans="1:22" x14ac:dyDescent="0.3">
      <c r="A130">
        <v>4</v>
      </c>
      <c r="B130">
        <v>1</v>
      </c>
      <c r="C130">
        <v>207492</v>
      </c>
      <c r="D130" t="s">
        <v>22</v>
      </c>
      <c r="E130" s="10">
        <v>44093</v>
      </c>
      <c r="F130" t="s">
        <v>23</v>
      </c>
      <c r="G130" s="3" t="s">
        <v>73</v>
      </c>
      <c r="H130" t="s">
        <v>38</v>
      </c>
      <c r="P130">
        <v>16</v>
      </c>
      <c r="Q130">
        <v>39</v>
      </c>
      <c r="R130">
        <v>49</v>
      </c>
      <c r="T130" s="13">
        <f t="shared" si="4"/>
        <v>104</v>
      </c>
      <c r="U130" t="s">
        <v>144</v>
      </c>
    </row>
    <row r="131" spans="1:22" x14ac:dyDescent="0.3">
      <c r="A131">
        <v>4</v>
      </c>
      <c r="B131">
        <v>1</v>
      </c>
      <c r="C131">
        <v>207492</v>
      </c>
      <c r="D131" t="s">
        <v>22</v>
      </c>
      <c r="E131" s="10">
        <v>44093</v>
      </c>
      <c r="F131" t="s">
        <v>23</v>
      </c>
      <c r="G131" s="3" t="s">
        <v>73</v>
      </c>
      <c r="H131" t="s">
        <v>31</v>
      </c>
      <c r="O131">
        <v>4</v>
      </c>
      <c r="P131">
        <v>2</v>
      </c>
      <c r="Q131">
        <v>16</v>
      </c>
      <c r="R131">
        <v>5</v>
      </c>
      <c r="T131" s="13">
        <f t="shared" si="4"/>
        <v>27</v>
      </c>
      <c r="U131" t="s">
        <v>144</v>
      </c>
    </row>
    <row r="132" spans="1:22" x14ac:dyDescent="0.3">
      <c r="A132">
        <v>4</v>
      </c>
      <c r="B132">
        <v>1</v>
      </c>
      <c r="C132">
        <v>207492</v>
      </c>
      <c r="D132" t="s">
        <v>22</v>
      </c>
      <c r="E132" s="10">
        <v>44093</v>
      </c>
      <c r="F132" t="s">
        <v>23</v>
      </c>
      <c r="G132" s="3" t="s">
        <v>73</v>
      </c>
      <c r="H132" t="s">
        <v>37</v>
      </c>
      <c r="P132">
        <v>8</v>
      </c>
      <c r="Q132">
        <v>16</v>
      </c>
      <c r="R132">
        <v>4</v>
      </c>
      <c r="T132" s="13">
        <f t="shared" si="4"/>
        <v>28</v>
      </c>
      <c r="U132" t="s">
        <v>144</v>
      </c>
    </row>
    <row r="133" spans="1:22" x14ac:dyDescent="0.3">
      <c r="A133">
        <v>4</v>
      </c>
      <c r="B133">
        <v>1</v>
      </c>
      <c r="C133">
        <v>207492</v>
      </c>
      <c r="D133" t="s">
        <v>22</v>
      </c>
      <c r="E133" s="10">
        <v>44093</v>
      </c>
      <c r="F133" t="s">
        <v>23</v>
      </c>
      <c r="G133" s="3" t="s">
        <v>73</v>
      </c>
      <c r="H133" t="s">
        <v>34</v>
      </c>
      <c r="Q133">
        <v>2</v>
      </c>
      <c r="R133">
        <v>2</v>
      </c>
      <c r="T133" s="13">
        <f t="shared" si="4"/>
        <v>4</v>
      </c>
      <c r="U133" t="s">
        <v>144</v>
      </c>
    </row>
    <row r="134" spans="1:22" x14ac:dyDescent="0.3">
      <c r="A134">
        <v>4</v>
      </c>
      <c r="B134">
        <v>1</v>
      </c>
      <c r="C134">
        <v>207492</v>
      </c>
      <c r="D134" t="s">
        <v>22</v>
      </c>
      <c r="E134" s="10">
        <v>44093</v>
      </c>
      <c r="F134" t="s">
        <v>23</v>
      </c>
      <c r="G134" s="3" t="s">
        <v>73</v>
      </c>
      <c r="H134" t="s">
        <v>81</v>
      </c>
      <c r="R134">
        <v>3</v>
      </c>
      <c r="T134" s="13">
        <f t="shared" si="4"/>
        <v>3</v>
      </c>
      <c r="U134" t="s">
        <v>144</v>
      </c>
    </row>
    <row r="135" spans="1:22" x14ac:dyDescent="0.3">
      <c r="A135">
        <v>4</v>
      </c>
      <c r="B135">
        <v>1</v>
      </c>
      <c r="C135">
        <v>207492</v>
      </c>
      <c r="D135" t="s">
        <v>22</v>
      </c>
      <c r="E135" s="10">
        <v>44093</v>
      </c>
      <c r="F135" t="s">
        <v>23</v>
      </c>
      <c r="G135" s="3" t="s">
        <v>73</v>
      </c>
      <c r="H135" t="s">
        <v>33</v>
      </c>
      <c r="R135">
        <v>1</v>
      </c>
      <c r="T135" s="13">
        <f t="shared" si="4"/>
        <v>1</v>
      </c>
      <c r="U135" t="s">
        <v>144</v>
      </c>
    </row>
    <row r="136" spans="1:22" x14ac:dyDescent="0.3">
      <c r="A136">
        <v>4</v>
      </c>
      <c r="B136">
        <v>1</v>
      </c>
      <c r="C136">
        <v>207492</v>
      </c>
      <c r="D136" t="s">
        <v>22</v>
      </c>
      <c r="E136" s="10">
        <v>44093</v>
      </c>
      <c r="F136" t="s">
        <v>23</v>
      </c>
      <c r="G136" s="3" t="s">
        <v>73</v>
      </c>
      <c r="H136" t="s">
        <v>32</v>
      </c>
      <c r="O136">
        <v>1</v>
      </c>
      <c r="T136" s="13">
        <f t="shared" si="4"/>
        <v>1</v>
      </c>
      <c r="U136" t="s">
        <v>144</v>
      </c>
    </row>
    <row r="137" spans="1:22" x14ac:dyDescent="0.3">
      <c r="A137">
        <v>4</v>
      </c>
      <c r="B137">
        <v>1</v>
      </c>
      <c r="C137">
        <v>207492</v>
      </c>
      <c r="D137" t="s">
        <v>22</v>
      </c>
      <c r="E137" s="10">
        <v>44093</v>
      </c>
      <c r="F137" t="s">
        <v>23</v>
      </c>
      <c r="G137" s="3" t="s">
        <v>73</v>
      </c>
      <c r="H137" t="s">
        <v>41</v>
      </c>
      <c r="S137">
        <v>1</v>
      </c>
      <c r="T137" s="13">
        <f t="shared" si="4"/>
        <v>1</v>
      </c>
      <c r="U137" t="s">
        <v>144</v>
      </c>
    </row>
    <row r="138" spans="1:22" x14ac:dyDescent="0.3">
      <c r="A138">
        <v>4</v>
      </c>
      <c r="B138">
        <v>1</v>
      </c>
      <c r="C138">
        <v>207492</v>
      </c>
      <c r="D138" t="s">
        <v>22</v>
      </c>
      <c r="E138" s="10">
        <v>44093</v>
      </c>
      <c r="F138" t="s">
        <v>23</v>
      </c>
      <c r="G138" s="3" t="s">
        <v>73</v>
      </c>
      <c r="H138" t="s">
        <v>51</v>
      </c>
      <c r="S138">
        <v>1</v>
      </c>
      <c r="T138" s="13">
        <f t="shared" si="4"/>
        <v>1</v>
      </c>
      <c r="U138" t="s">
        <v>144</v>
      </c>
    </row>
    <row r="139" spans="1:22" x14ac:dyDescent="0.3">
      <c r="A139">
        <v>4</v>
      </c>
      <c r="B139">
        <v>1</v>
      </c>
      <c r="C139">
        <v>207492</v>
      </c>
      <c r="D139" t="s">
        <v>22</v>
      </c>
      <c r="E139" s="10">
        <v>44093</v>
      </c>
      <c r="F139" t="s">
        <v>23</v>
      </c>
      <c r="G139" s="3" t="s">
        <v>73</v>
      </c>
      <c r="H139" t="s">
        <v>46</v>
      </c>
      <c r="Q139">
        <v>3</v>
      </c>
      <c r="T139" s="13">
        <f t="shared" si="4"/>
        <v>3</v>
      </c>
      <c r="U139" t="s">
        <v>144</v>
      </c>
    </row>
    <row r="140" spans="1:22" x14ac:dyDescent="0.3">
      <c r="A140">
        <v>4</v>
      </c>
      <c r="B140">
        <v>1</v>
      </c>
      <c r="C140">
        <v>207492</v>
      </c>
      <c r="D140" t="s">
        <v>22</v>
      </c>
      <c r="E140" s="10">
        <v>44093</v>
      </c>
      <c r="F140" t="s">
        <v>23</v>
      </c>
      <c r="G140" s="3" t="s">
        <v>73</v>
      </c>
      <c r="H140" t="s">
        <v>45</v>
      </c>
      <c r="K140">
        <v>1</v>
      </c>
      <c r="T140" s="13">
        <f t="shared" si="4"/>
        <v>1</v>
      </c>
      <c r="U140" t="s">
        <v>144</v>
      </c>
    </row>
    <row r="141" spans="1:22" s="5" customFormat="1" ht="16.2" thickBot="1" x14ac:dyDescent="0.35">
      <c r="A141" s="5">
        <v>4</v>
      </c>
      <c r="B141" s="5">
        <v>1</v>
      </c>
      <c r="C141" s="5">
        <v>207492</v>
      </c>
      <c r="D141" s="5" t="s">
        <v>22</v>
      </c>
      <c r="E141" s="11">
        <v>44093</v>
      </c>
      <c r="F141" s="5" t="s">
        <v>23</v>
      </c>
      <c r="G141" s="6" t="s">
        <v>73</v>
      </c>
      <c r="H141" s="5" t="s">
        <v>43</v>
      </c>
      <c r="K141" s="5">
        <v>4</v>
      </c>
      <c r="Q141" s="5">
        <v>6</v>
      </c>
      <c r="R141" s="5">
        <v>1</v>
      </c>
      <c r="T141" s="12">
        <f t="shared" si="4"/>
        <v>11</v>
      </c>
      <c r="U141" s="5" t="s">
        <v>144</v>
      </c>
      <c r="V141" s="14"/>
    </row>
    <row r="142" spans="1:22" x14ac:dyDescent="0.3">
      <c r="A142">
        <v>4</v>
      </c>
      <c r="B142">
        <v>2</v>
      </c>
      <c r="C142">
        <v>207493</v>
      </c>
      <c r="D142" t="s">
        <v>22</v>
      </c>
      <c r="E142" s="10">
        <v>44093</v>
      </c>
      <c r="F142" t="s">
        <v>23</v>
      </c>
      <c r="G142" s="3" t="s">
        <v>145</v>
      </c>
      <c r="H142" t="s">
        <v>25</v>
      </c>
      <c r="M142">
        <v>8</v>
      </c>
      <c r="N142">
        <v>20</v>
      </c>
      <c r="O142">
        <v>28</v>
      </c>
      <c r="P142">
        <v>28</v>
      </c>
      <c r="Q142">
        <v>2</v>
      </c>
      <c r="T142" s="13">
        <f t="shared" si="4"/>
        <v>86</v>
      </c>
      <c r="U142" t="s">
        <v>144</v>
      </c>
      <c r="V142" s="15" t="s">
        <v>148</v>
      </c>
    </row>
    <row r="143" spans="1:22" x14ac:dyDescent="0.3">
      <c r="A143">
        <v>4</v>
      </c>
      <c r="B143">
        <v>2</v>
      </c>
      <c r="C143">
        <v>207493</v>
      </c>
      <c r="D143" t="s">
        <v>22</v>
      </c>
      <c r="E143" s="10">
        <v>44093</v>
      </c>
      <c r="F143" t="s">
        <v>23</v>
      </c>
      <c r="G143" s="3" t="s">
        <v>145</v>
      </c>
      <c r="H143" t="s">
        <v>27</v>
      </c>
      <c r="O143">
        <v>1</v>
      </c>
      <c r="T143" s="13">
        <f t="shared" si="4"/>
        <v>1</v>
      </c>
      <c r="U143" t="s">
        <v>144</v>
      </c>
    </row>
    <row r="144" spans="1:22" x14ac:dyDescent="0.3">
      <c r="A144">
        <v>4</v>
      </c>
      <c r="B144">
        <v>2</v>
      </c>
      <c r="C144">
        <v>207493</v>
      </c>
      <c r="D144" t="s">
        <v>22</v>
      </c>
      <c r="E144" s="10">
        <v>44093</v>
      </c>
      <c r="F144" t="s">
        <v>23</v>
      </c>
      <c r="G144" s="3" t="s">
        <v>145</v>
      </c>
      <c r="H144" t="s">
        <v>67</v>
      </c>
      <c r="M144">
        <v>1</v>
      </c>
      <c r="T144" s="13">
        <f t="shared" si="4"/>
        <v>1</v>
      </c>
      <c r="U144" t="s">
        <v>144</v>
      </c>
    </row>
    <row r="145" spans="1:22" ht="31.2" x14ac:dyDescent="0.3">
      <c r="A145">
        <v>4</v>
      </c>
      <c r="B145">
        <v>2</v>
      </c>
      <c r="C145">
        <v>207493</v>
      </c>
      <c r="D145" t="s">
        <v>22</v>
      </c>
      <c r="E145" s="10">
        <v>44093</v>
      </c>
      <c r="F145" t="s">
        <v>23</v>
      </c>
      <c r="G145" s="3" t="s">
        <v>146</v>
      </c>
      <c r="H145" t="s">
        <v>33</v>
      </c>
      <c r="P145">
        <v>2</v>
      </c>
      <c r="R145">
        <v>1</v>
      </c>
      <c r="T145" s="13">
        <f t="shared" si="4"/>
        <v>3</v>
      </c>
      <c r="U145" t="s">
        <v>144</v>
      </c>
      <c r="V145" s="15" t="s">
        <v>147</v>
      </c>
    </row>
    <row r="146" spans="1:22" x14ac:dyDescent="0.3">
      <c r="A146">
        <v>4</v>
      </c>
      <c r="B146">
        <v>2</v>
      </c>
      <c r="C146">
        <v>207493</v>
      </c>
      <c r="D146" t="s">
        <v>22</v>
      </c>
      <c r="E146" s="10">
        <v>44093</v>
      </c>
      <c r="F146" t="s">
        <v>23</v>
      </c>
      <c r="G146" s="3" t="s">
        <v>146</v>
      </c>
      <c r="H146" t="s">
        <v>71</v>
      </c>
      <c r="Q146">
        <v>1</v>
      </c>
      <c r="T146" s="13">
        <f t="shared" si="4"/>
        <v>1</v>
      </c>
      <c r="U146" t="s">
        <v>144</v>
      </c>
    </row>
    <row r="147" spans="1:22" x14ac:dyDescent="0.3">
      <c r="A147">
        <v>4</v>
      </c>
      <c r="B147">
        <v>2</v>
      </c>
      <c r="C147">
        <v>207493</v>
      </c>
      <c r="D147" t="s">
        <v>22</v>
      </c>
      <c r="E147" s="10">
        <v>44093</v>
      </c>
      <c r="F147" t="s">
        <v>23</v>
      </c>
      <c r="G147" s="3" t="s">
        <v>146</v>
      </c>
      <c r="H147" t="s">
        <v>30</v>
      </c>
      <c r="I147">
        <v>8</v>
      </c>
      <c r="J147">
        <v>1</v>
      </c>
      <c r="T147" s="13">
        <f t="shared" si="4"/>
        <v>9</v>
      </c>
      <c r="U147" t="s">
        <v>144</v>
      </c>
    </row>
    <row r="148" spans="1:22" x14ac:dyDescent="0.3">
      <c r="A148">
        <v>4</v>
      </c>
      <c r="B148">
        <v>2</v>
      </c>
      <c r="C148">
        <v>207493</v>
      </c>
      <c r="D148" t="s">
        <v>22</v>
      </c>
      <c r="E148" s="10">
        <v>44093</v>
      </c>
      <c r="F148" t="s">
        <v>23</v>
      </c>
      <c r="G148" s="3" t="s">
        <v>146</v>
      </c>
      <c r="H148" t="s">
        <v>31</v>
      </c>
      <c r="O148">
        <v>2</v>
      </c>
      <c r="P148">
        <v>11</v>
      </c>
      <c r="Q148">
        <v>6</v>
      </c>
      <c r="R148">
        <v>2</v>
      </c>
      <c r="T148" s="13">
        <f t="shared" si="4"/>
        <v>21</v>
      </c>
      <c r="U148" t="s">
        <v>144</v>
      </c>
    </row>
    <row r="149" spans="1:22" x14ac:dyDescent="0.3">
      <c r="A149">
        <v>4</v>
      </c>
      <c r="B149">
        <v>2</v>
      </c>
      <c r="C149">
        <v>207493</v>
      </c>
      <c r="D149" t="s">
        <v>22</v>
      </c>
      <c r="E149" s="10">
        <v>44093</v>
      </c>
      <c r="F149" t="s">
        <v>23</v>
      </c>
      <c r="G149" s="3" t="s">
        <v>146</v>
      </c>
      <c r="H149" t="s">
        <v>37</v>
      </c>
      <c r="O149">
        <v>4</v>
      </c>
      <c r="P149">
        <v>3</v>
      </c>
      <c r="Q149">
        <v>20</v>
      </c>
      <c r="R149">
        <v>6</v>
      </c>
      <c r="T149" s="13">
        <f t="shared" si="4"/>
        <v>33</v>
      </c>
      <c r="U149" t="s">
        <v>144</v>
      </c>
    </row>
    <row r="150" spans="1:22" x14ac:dyDescent="0.3">
      <c r="A150">
        <v>4</v>
      </c>
      <c r="B150">
        <v>2</v>
      </c>
      <c r="C150">
        <v>207493</v>
      </c>
      <c r="D150" t="s">
        <v>22</v>
      </c>
      <c r="E150" s="10">
        <v>44093</v>
      </c>
      <c r="F150" t="s">
        <v>23</v>
      </c>
      <c r="G150" s="3" t="s">
        <v>146</v>
      </c>
      <c r="H150" t="s">
        <v>32</v>
      </c>
      <c r="O150">
        <v>5</v>
      </c>
      <c r="T150" s="13">
        <f t="shared" si="4"/>
        <v>5</v>
      </c>
      <c r="U150" t="s">
        <v>144</v>
      </c>
    </row>
    <row r="151" spans="1:22" x14ac:dyDescent="0.3">
      <c r="A151">
        <v>4</v>
      </c>
      <c r="B151">
        <v>2</v>
      </c>
      <c r="C151">
        <v>207493</v>
      </c>
      <c r="D151" t="s">
        <v>22</v>
      </c>
      <c r="E151" s="10">
        <v>44093</v>
      </c>
      <c r="F151" t="s">
        <v>23</v>
      </c>
      <c r="G151" s="3" t="s">
        <v>146</v>
      </c>
      <c r="H151" t="s">
        <v>34</v>
      </c>
      <c r="Q151">
        <v>1</v>
      </c>
      <c r="T151" s="13">
        <f t="shared" si="4"/>
        <v>1</v>
      </c>
      <c r="U151" t="s">
        <v>144</v>
      </c>
    </row>
    <row r="152" spans="1:22" x14ac:dyDescent="0.3">
      <c r="A152">
        <v>4</v>
      </c>
      <c r="B152">
        <v>2</v>
      </c>
      <c r="C152">
        <v>207493</v>
      </c>
      <c r="D152" t="s">
        <v>22</v>
      </c>
      <c r="E152" s="10">
        <v>44093</v>
      </c>
      <c r="F152" t="s">
        <v>23</v>
      </c>
      <c r="G152" s="3" t="s">
        <v>146</v>
      </c>
      <c r="H152" t="s">
        <v>38</v>
      </c>
      <c r="P152">
        <v>18</v>
      </c>
      <c r="Q152">
        <v>18</v>
      </c>
      <c r="R152">
        <v>56</v>
      </c>
      <c r="T152" s="13">
        <f t="shared" si="4"/>
        <v>92</v>
      </c>
      <c r="U152" t="s">
        <v>144</v>
      </c>
    </row>
    <row r="153" spans="1:22" x14ac:dyDescent="0.3">
      <c r="A153">
        <v>4</v>
      </c>
      <c r="B153">
        <v>2</v>
      </c>
      <c r="C153">
        <v>207493</v>
      </c>
      <c r="D153" t="s">
        <v>22</v>
      </c>
      <c r="E153" s="10">
        <v>44093</v>
      </c>
      <c r="F153" t="s">
        <v>23</v>
      </c>
      <c r="G153" s="3" t="s">
        <v>146</v>
      </c>
      <c r="H153" t="s">
        <v>39</v>
      </c>
      <c r="R153">
        <v>2</v>
      </c>
      <c r="T153" s="13">
        <f t="shared" si="4"/>
        <v>2</v>
      </c>
      <c r="U153" t="s">
        <v>144</v>
      </c>
    </row>
    <row r="154" spans="1:22" x14ac:dyDescent="0.3">
      <c r="A154">
        <v>4</v>
      </c>
      <c r="B154">
        <v>2</v>
      </c>
      <c r="C154">
        <v>207493</v>
      </c>
      <c r="D154" t="s">
        <v>22</v>
      </c>
      <c r="E154" s="10">
        <v>44093</v>
      </c>
      <c r="F154" t="s">
        <v>23</v>
      </c>
      <c r="G154" s="3" t="s">
        <v>146</v>
      </c>
      <c r="H154" t="s">
        <v>55</v>
      </c>
      <c r="S154">
        <v>1</v>
      </c>
      <c r="T154" s="13">
        <f t="shared" si="4"/>
        <v>1</v>
      </c>
      <c r="U154" t="s">
        <v>144</v>
      </c>
    </row>
    <row r="155" spans="1:22" x14ac:dyDescent="0.3">
      <c r="A155">
        <v>4</v>
      </c>
      <c r="B155">
        <v>2</v>
      </c>
      <c r="C155">
        <v>207493</v>
      </c>
      <c r="D155" t="s">
        <v>22</v>
      </c>
      <c r="E155" s="10">
        <v>44093</v>
      </c>
      <c r="F155" t="s">
        <v>23</v>
      </c>
      <c r="G155" s="3" t="s">
        <v>146</v>
      </c>
      <c r="H155" t="s">
        <v>40</v>
      </c>
      <c r="S155">
        <v>1</v>
      </c>
      <c r="T155" s="13">
        <f t="shared" si="4"/>
        <v>1</v>
      </c>
      <c r="U155" t="s">
        <v>144</v>
      </c>
    </row>
    <row r="156" spans="1:22" x14ac:dyDescent="0.3">
      <c r="A156">
        <v>4</v>
      </c>
      <c r="B156">
        <v>2</v>
      </c>
      <c r="C156">
        <v>207493</v>
      </c>
      <c r="D156" t="s">
        <v>22</v>
      </c>
      <c r="E156" s="10">
        <v>44093</v>
      </c>
      <c r="F156" t="s">
        <v>23</v>
      </c>
      <c r="G156" s="3" t="s">
        <v>146</v>
      </c>
      <c r="H156" t="s">
        <v>41</v>
      </c>
      <c r="S156">
        <v>5</v>
      </c>
      <c r="T156" s="13">
        <f t="shared" si="4"/>
        <v>5</v>
      </c>
      <c r="U156" t="s">
        <v>144</v>
      </c>
    </row>
    <row r="157" spans="1:22" x14ac:dyDescent="0.3">
      <c r="A157">
        <v>4</v>
      </c>
      <c r="B157">
        <v>2</v>
      </c>
      <c r="C157">
        <v>207493</v>
      </c>
      <c r="D157" t="s">
        <v>22</v>
      </c>
      <c r="E157" s="10">
        <v>44093</v>
      </c>
      <c r="F157" t="s">
        <v>23</v>
      </c>
      <c r="G157" s="3" t="s">
        <v>146</v>
      </c>
      <c r="H157" t="s">
        <v>51</v>
      </c>
      <c r="S157">
        <v>2</v>
      </c>
      <c r="T157" s="13">
        <f t="shared" si="4"/>
        <v>2</v>
      </c>
      <c r="U157" t="s">
        <v>144</v>
      </c>
    </row>
    <row r="158" spans="1:22" x14ac:dyDescent="0.3">
      <c r="A158">
        <v>4</v>
      </c>
      <c r="B158">
        <v>2</v>
      </c>
      <c r="C158">
        <v>207493</v>
      </c>
      <c r="D158" t="s">
        <v>22</v>
      </c>
      <c r="E158" s="10">
        <v>44093</v>
      </c>
      <c r="F158" t="s">
        <v>23</v>
      </c>
      <c r="G158" s="3" t="s">
        <v>146</v>
      </c>
      <c r="H158" t="s">
        <v>56</v>
      </c>
      <c r="S158">
        <v>1</v>
      </c>
      <c r="T158" s="13">
        <f t="shared" si="4"/>
        <v>1</v>
      </c>
      <c r="U158" t="s">
        <v>144</v>
      </c>
    </row>
    <row r="159" spans="1:22" x14ac:dyDescent="0.3">
      <c r="A159">
        <v>4</v>
      </c>
      <c r="B159">
        <v>2</v>
      </c>
      <c r="C159">
        <v>207493</v>
      </c>
      <c r="D159" t="s">
        <v>22</v>
      </c>
      <c r="E159" s="10">
        <v>44093</v>
      </c>
      <c r="F159" t="s">
        <v>23</v>
      </c>
      <c r="G159" s="3" t="s">
        <v>146</v>
      </c>
      <c r="H159" t="s">
        <v>57</v>
      </c>
      <c r="S159">
        <v>1</v>
      </c>
      <c r="T159" s="13">
        <f t="shared" si="4"/>
        <v>1</v>
      </c>
      <c r="U159" t="s">
        <v>144</v>
      </c>
    </row>
    <row r="160" spans="1:22" x14ac:dyDescent="0.3">
      <c r="A160">
        <v>4</v>
      </c>
      <c r="B160">
        <v>2</v>
      </c>
      <c r="C160">
        <v>207493</v>
      </c>
      <c r="D160" t="s">
        <v>22</v>
      </c>
      <c r="E160" s="10">
        <v>44093</v>
      </c>
      <c r="F160" t="s">
        <v>23</v>
      </c>
      <c r="G160" s="3" t="s">
        <v>146</v>
      </c>
      <c r="H160" t="s">
        <v>43</v>
      </c>
      <c r="K160">
        <v>3</v>
      </c>
      <c r="Q160">
        <v>3</v>
      </c>
      <c r="R160">
        <v>2</v>
      </c>
      <c r="T160" s="13">
        <f t="shared" si="4"/>
        <v>8</v>
      </c>
      <c r="U160" t="s">
        <v>144</v>
      </c>
    </row>
    <row r="161" spans="1:22" x14ac:dyDescent="0.3">
      <c r="A161">
        <v>4</v>
      </c>
      <c r="B161">
        <v>2</v>
      </c>
      <c r="C161">
        <v>207493</v>
      </c>
      <c r="D161" t="s">
        <v>22</v>
      </c>
      <c r="E161" s="10">
        <v>44093</v>
      </c>
      <c r="F161" t="s">
        <v>23</v>
      </c>
      <c r="G161" s="3" t="s">
        <v>146</v>
      </c>
      <c r="H161" t="s">
        <v>46</v>
      </c>
      <c r="Q161">
        <v>18</v>
      </c>
      <c r="R161">
        <v>1</v>
      </c>
      <c r="T161" s="13">
        <f t="shared" si="4"/>
        <v>19</v>
      </c>
      <c r="U161" t="s">
        <v>144</v>
      </c>
    </row>
    <row r="162" spans="1:22" s="5" customFormat="1" ht="16.2" thickBot="1" x14ac:dyDescent="0.35">
      <c r="A162" s="5">
        <v>4</v>
      </c>
      <c r="B162" s="5">
        <v>2</v>
      </c>
      <c r="C162" s="5">
        <v>207493</v>
      </c>
      <c r="D162" s="5" t="s">
        <v>22</v>
      </c>
      <c r="E162" s="11">
        <v>44093</v>
      </c>
      <c r="F162" s="5" t="s">
        <v>23</v>
      </c>
      <c r="G162" s="6" t="s">
        <v>146</v>
      </c>
      <c r="H162" s="5" t="s">
        <v>45</v>
      </c>
      <c r="K162" s="5">
        <v>2</v>
      </c>
      <c r="T162" s="12">
        <f t="shared" si="4"/>
        <v>2</v>
      </c>
      <c r="U162" s="5" t="s">
        <v>144</v>
      </c>
      <c r="V162" s="14"/>
    </row>
    <row r="163" spans="1:22" ht="31.2" x14ac:dyDescent="0.3">
      <c r="A163">
        <v>4</v>
      </c>
      <c r="B163">
        <v>3</v>
      </c>
      <c r="C163">
        <v>207494</v>
      </c>
      <c r="D163" t="s">
        <v>22</v>
      </c>
      <c r="E163" s="10">
        <v>44093</v>
      </c>
      <c r="F163" t="s">
        <v>23</v>
      </c>
      <c r="G163" s="3" t="s">
        <v>149</v>
      </c>
      <c r="H163" t="s">
        <v>25</v>
      </c>
      <c r="N163">
        <v>3</v>
      </c>
      <c r="P163">
        <v>1</v>
      </c>
      <c r="T163" s="13">
        <f t="shared" si="4"/>
        <v>4</v>
      </c>
      <c r="U163" t="s">
        <v>26</v>
      </c>
      <c r="V163" s="15" t="s">
        <v>151</v>
      </c>
    </row>
    <row r="164" spans="1:22" x14ac:dyDescent="0.3">
      <c r="A164">
        <v>4</v>
      </c>
      <c r="B164">
        <v>3</v>
      </c>
      <c r="C164">
        <v>207494</v>
      </c>
      <c r="D164" t="s">
        <v>22</v>
      </c>
      <c r="E164" s="10">
        <v>44093</v>
      </c>
      <c r="F164" t="s">
        <v>23</v>
      </c>
      <c r="G164" s="3" t="s">
        <v>149</v>
      </c>
      <c r="H164" t="s">
        <v>64</v>
      </c>
      <c r="S164">
        <v>1</v>
      </c>
      <c r="T164" s="13">
        <f t="shared" si="4"/>
        <v>1</v>
      </c>
      <c r="U164" t="s">
        <v>143</v>
      </c>
    </row>
    <row r="165" spans="1:22" x14ac:dyDescent="0.3">
      <c r="A165">
        <v>4</v>
      </c>
      <c r="B165">
        <v>3</v>
      </c>
      <c r="C165">
        <v>207494</v>
      </c>
      <c r="D165" t="s">
        <v>22</v>
      </c>
      <c r="E165" s="10">
        <v>44093</v>
      </c>
      <c r="F165" t="s">
        <v>23</v>
      </c>
      <c r="G165" s="3" t="s">
        <v>149</v>
      </c>
      <c r="H165" t="s">
        <v>273</v>
      </c>
      <c r="S165">
        <v>1</v>
      </c>
      <c r="T165" s="13">
        <f t="shared" si="4"/>
        <v>1</v>
      </c>
      <c r="U165" t="s">
        <v>26</v>
      </c>
    </row>
    <row r="166" spans="1:22" x14ac:dyDescent="0.3">
      <c r="A166">
        <v>4</v>
      </c>
      <c r="B166">
        <v>3</v>
      </c>
      <c r="C166">
        <v>207494</v>
      </c>
      <c r="D166" t="s">
        <v>22</v>
      </c>
      <c r="E166" s="10">
        <v>44093</v>
      </c>
      <c r="F166" t="s">
        <v>23</v>
      </c>
      <c r="G166" s="3" t="s">
        <v>149</v>
      </c>
      <c r="H166" t="s">
        <v>33</v>
      </c>
      <c r="K166">
        <v>4</v>
      </c>
      <c r="Q166">
        <v>3</v>
      </c>
      <c r="R166">
        <v>12</v>
      </c>
      <c r="T166" s="13">
        <f t="shared" si="4"/>
        <v>19</v>
      </c>
      <c r="U166" t="s">
        <v>26</v>
      </c>
    </row>
    <row r="167" spans="1:22" x14ac:dyDescent="0.3">
      <c r="A167">
        <v>4</v>
      </c>
      <c r="B167">
        <v>3</v>
      </c>
      <c r="C167">
        <v>207494</v>
      </c>
      <c r="D167" t="s">
        <v>22</v>
      </c>
      <c r="E167" s="10">
        <v>44093</v>
      </c>
      <c r="F167" t="s">
        <v>23</v>
      </c>
      <c r="G167" s="3" t="s">
        <v>149</v>
      </c>
      <c r="H167" t="s">
        <v>71</v>
      </c>
      <c r="Q167">
        <v>2</v>
      </c>
      <c r="T167" s="13">
        <f t="shared" si="4"/>
        <v>2</v>
      </c>
      <c r="U167" t="s">
        <v>26</v>
      </c>
    </row>
    <row r="168" spans="1:22" x14ac:dyDescent="0.3">
      <c r="A168">
        <v>4</v>
      </c>
      <c r="B168">
        <v>3</v>
      </c>
      <c r="C168">
        <v>207494</v>
      </c>
      <c r="D168" t="s">
        <v>22</v>
      </c>
      <c r="E168" s="10">
        <v>44093</v>
      </c>
      <c r="F168" t="s">
        <v>23</v>
      </c>
      <c r="G168" s="3" t="s">
        <v>149</v>
      </c>
      <c r="H168" t="s">
        <v>150</v>
      </c>
      <c r="Q168">
        <v>1</v>
      </c>
      <c r="T168" s="13">
        <f t="shared" si="4"/>
        <v>1</v>
      </c>
      <c r="U168" t="s">
        <v>26</v>
      </c>
    </row>
    <row r="169" spans="1:22" x14ac:dyDescent="0.3">
      <c r="A169">
        <v>4</v>
      </c>
      <c r="B169">
        <v>3</v>
      </c>
      <c r="C169">
        <v>207494</v>
      </c>
      <c r="D169" t="s">
        <v>22</v>
      </c>
      <c r="E169" s="10">
        <v>44093</v>
      </c>
      <c r="F169" t="s">
        <v>23</v>
      </c>
      <c r="G169" s="3" t="s">
        <v>149</v>
      </c>
      <c r="H169" t="s">
        <v>30</v>
      </c>
      <c r="I169">
        <v>12</v>
      </c>
      <c r="J169">
        <v>9</v>
      </c>
      <c r="T169" s="13">
        <f t="shared" si="4"/>
        <v>21</v>
      </c>
      <c r="U169" t="s">
        <v>26</v>
      </c>
    </row>
    <row r="170" spans="1:22" x14ac:dyDescent="0.3">
      <c r="A170">
        <v>4</v>
      </c>
      <c r="B170">
        <v>3</v>
      </c>
      <c r="C170">
        <v>207494</v>
      </c>
      <c r="D170" t="s">
        <v>22</v>
      </c>
      <c r="E170" s="10">
        <v>44093</v>
      </c>
      <c r="F170" t="s">
        <v>23</v>
      </c>
      <c r="G170" s="3" t="s">
        <v>149</v>
      </c>
      <c r="H170" t="s">
        <v>66</v>
      </c>
      <c r="N170">
        <v>1</v>
      </c>
      <c r="T170" s="13">
        <f t="shared" si="4"/>
        <v>1</v>
      </c>
      <c r="U170" t="s">
        <v>26</v>
      </c>
    </row>
    <row r="171" spans="1:22" x14ac:dyDescent="0.3">
      <c r="A171">
        <v>4</v>
      </c>
      <c r="B171">
        <v>3</v>
      </c>
      <c r="C171">
        <v>207494</v>
      </c>
      <c r="D171" t="s">
        <v>22</v>
      </c>
      <c r="E171" s="10">
        <v>44093</v>
      </c>
      <c r="F171" t="s">
        <v>23</v>
      </c>
      <c r="G171" s="3" t="s">
        <v>149</v>
      </c>
      <c r="H171" t="s">
        <v>31</v>
      </c>
      <c r="O171">
        <v>2</v>
      </c>
      <c r="Q171">
        <v>7</v>
      </c>
      <c r="R171">
        <v>2</v>
      </c>
      <c r="T171" s="13">
        <f t="shared" si="4"/>
        <v>11</v>
      </c>
      <c r="U171" t="s">
        <v>26</v>
      </c>
    </row>
    <row r="172" spans="1:22" x14ac:dyDescent="0.3">
      <c r="A172">
        <v>4</v>
      </c>
      <c r="B172">
        <v>3</v>
      </c>
      <c r="C172">
        <v>207494</v>
      </c>
      <c r="D172" t="s">
        <v>22</v>
      </c>
      <c r="E172" s="10">
        <v>44093</v>
      </c>
      <c r="F172" t="s">
        <v>23</v>
      </c>
      <c r="G172" s="3" t="s">
        <v>149</v>
      </c>
      <c r="H172" t="s">
        <v>37</v>
      </c>
      <c r="O172">
        <v>7</v>
      </c>
      <c r="P172">
        <v>6</v>
      </c>
      <c r="Q172">
        <v>7</v>
      </c>
      <c r="R172">
        <v>7</v>
      </c>
      <c r="T172" s="13">
        <f t="shared" si="4"/>
        <v>27</v>
      </c>
      <c r="U172" t="s">
        <v>26</v>
      </c>
    </row>
    <row r="173" spans="1:22" x14ac:dyDescent="0.3">
      <c r="A173">
        <v>4</v>
      </c>
      <c r="B173">
        <v>3</v>
      </c>
      <c r="C173">
        <v>207494</v>
      </c>
      <c r="D173" t="s">
        <v>22</v>
      </c>
      <c r="E173" s="10">
        <v>44093</v>
      </c>
      <c r="F173" t="s">
        <v>23</v>
      </c>
      <c r="G173" s="3" t="s">
        <v>149</v>
      </c>
      <c r="H173" t="s">
        <v>32</v>
      </c>
      <c r="O173">
        <v>4</v>
      </c>
      <c r="T173" s="13">
        <f t="shared" si="4"/>
        <v>4</v>
      </c>
      <c r="U173" t="s">
        <v>26</v>
      </c>
    </row>
    <row r="174" spans="1:22" x14ac:dyDescent="0.3">
      <c r="A174">
        <v>4</v>
      </c>
      <c r="B174">
        <v>3</v>
      </c>
      <c r="C174">
        <v>207494</v>
      </c>
      <c r="D174" t="s">
        <v>22</v>
      </c>
      <c r="E174" s="10">
        <v>44093</v>
      </c>
      <c r="F174" t="s">
        <v>23</v>
      </c>
      <c r="G174" s="3" t="s">
        <v>149</v>
      </c>
      <c r="H174" t="s">
        <v>38</v>
      </c>
      <c r="P174">
        <v>36</v>
      </c>
      <c r="Q174">
        <v>15</v>
      </c>
      <c r="R174">
        <v>40</v>
      </c>
      <c r="T174" s="13">
        <f t="shared" si="4"/>
        <v>91</v>
      </c>
      <c r="U174" t="s">
        <v>26</v>
      </c>
    </row>
    <row r="175" spans="1:22" x14ac:dyDescent="0.3">
      <c r="A175">
        <v>4</v>
      </c>
      <c r="B175">
        <v>3</v>
      </c>
      <c r="C175">
        <v>207494</v>
      </c>
      <c r="D175" t="s">
        <v>22</v>
      </c>
      <c r="E175" s="10">
        <v>44093</v>
      </c>
      <c r="F175" t="s">
        <v>23</v>
      </c>
      <c r="G175" s="3" t="s">
        <v>149</v>
      </c>
      <c r="H175" t="s">
        <v>39</v>
      </c>
      <c r="Q175">
        <v>1</v>
      </c>
      <c r="T175" s="13">
        <f t="shared" si="4"/>
        <v>1</v>
      </c>
      <c r="U175" t="s">
        <v>26</v>
      </c>
    </row>
    <row r="176" spans="1:22" x14ac:dyDescent="0.3">
      <c r="A176">
        <v>4</v>
      </c>
      <c r="B176">
        <v>3</v>
      </c>
      <c r="C176">
        <v>207494</v>
      </c>
      <c r="D176" t="s">
        <v>22</v>
      </c>
      <c r="E176" s="10">
        <v>44093</v>
      </c>
      <c r="F176" t="s">
        <v>23</v>
      </c>
      <c r="G176" s="3" t="s">
        <v>149</v>
      </c>
      <c r="H176" t="s">
        <v>43</v>
      </c>
      <c r="K176">
        <v>1</v>
      </c>
      <c r="Q176">
        <v>1</v>
      </c>
      <c r="T176" s="13">
        <f t="shared" si="4"/>
        <v>2</v>
      </c>
      <c r="U176" t="s">
        <v>26</v>
      </c>
    </row>
    <row r="177" spans="1:22" x14ac:dyDescent="0.3">
      <c r="A177">
        <v>4</v>
      </c>
      <c r="B177">
        <v>3</v>
      </c>
      <c r="C177">
        <v>207494</v>
      </c>
      <c r="D177" t="s">
        <v>22</v>
      </c>
      <c r="E177" s="10">
        <v>44093</v>
      </c>
      <c r="F177" t="s">
        <v>23</v>
      </c>
      <c r="G177" s="3" t="s">
        <v>149</v>
      </c>
      <c r="H177" t="s">
        <v>45</v>
      </c>
      <c r="K177">
        <v>2</v>
      </c>
      <c r="T177" s="13">
        <f t="shared" si="4"/>
        <v>2</v>
      </c>
      <c r="U177" t="s">
        <v>26</v>
      </c>
    </row>
    <row r="178" spans="1:22" x14ac:dyDescent="0.3">
      <c r="A178">
        <v>4</v>
      </c>
      <c r="B178">
        <v>3</v>
      </c>
      <c r="C178">
        <v>207494</v>
      </c>
      <c r="D178" t="s">
        <v>22</v>
      </c>
      <c r="E178" s="10">
        <v>44093</v>
      </c>
      <c r="F178" t="s">
        <v>23</v>
      </c>
      <c r="G178" s="3" t="s">
        <v>149</v>
      </c>
      <c r="H178" t="s">
        <v>46</v>
      </c>
      <c r="Q178">
        <v>23</v>
      </c>
      <c r="R178">
        <v>1</v>
      </c>
      <c r="T178" s="13">
        <f t="shared" si="4"/>
        <v>24</v>
      </c>
      <c r="U178" t="s">
        <v>26</v>
      </c>
    </row>
    <row r="179" spans="1:22" x14ac:dyDescent="0.3">
      <c r="A179">
        <v>4</v>
      </c>
      <c r="B179">
        <v>3</v>
      </c>
      <c r="C179">
        <v>207494</v>
      </c>
      <c r="D179" t="s">
        <v>22</v>
      </c>
      <c r="E179" s="10">
        <v>44093</v>
      </c>
      <c r="F179" t="s">
        <v>23</v>
      </c>
      <c r="G179" s="3" t="s">
        <v>149</v>
      </c>
      <c r="H179" t="s">
        <v>55</v>
      </c>
      <c r="S179">
        <v>3</v>
      </c>
      <c r="T179" s="13">
        <f t="shared" si="4"/>
        <v>3</v>
      </c>
      <c r="U179" t="s">
        <v>26</v>
      </c>
    </row>
    <row r="180" spans="1:22" x14ac:dyDescent="0.3">
      <c r="A180">
        <v>4</v>
      </c>
      <c r="B180">
        <v>3</v>
      </c>
      <c r="C180">
        <v>207494</v>
      </c>
      <c r="D180" t="s">
        <v>22</v>
      </c>
      <c r="E180" s="10">
        <v>44093</v>
      </c>
      <c r="F180" t="s">
        <v>23</v>
      </c>
      <c r="G180" s="3" t="s">
        <v>149</v>
      </c>
      <c r="H180" t="s">
        <v>51</v>
      </c>
      <c r="S180">
        <v>6</v>
      </c>
      <c r="T180" s="13">
        <f t="shared" si="4"/>
        <v>6</v>
      </c>
      <c r="U180" t="s">
        <v>26</v>
      </c>
    </row>
    <row r="181" spans="1:22" x14ac:dyDescent="0.3">
      <c r="A181">
        <v>4</v>
      </c>
      <c r="B181">
        <v>3</v>
      </c>
      <c r="C181">
        <v>207494</v>
      </c>
      <c r="D181" t="s">
        <v>22</v>
      </c>
      <c r="E181" s="10">
        <v>44093</v>
      </c>
      <c r="F181" t="s">
        <v>23</v>
      </c>
      <c r="G181" s="3" t="s">
        <v>149</v>
      </c>
      <c r="H181" t="s">
        <v>41</v>
      </c>
      <c r="S181">
        <v>1</v>
      </c>
      <c r="T181" s="13">
        <f t="shared" si="4"/>
        <v>1</v>
      </c>
      <c r="U181" t="s">
        <v>26</v>
      </c>
    </row>
    <row r="182" spans="1:22" s="5" customFormat="1" ht="16.2" thickBot="1" x14ac:dyDescent="0.35">
      <c r="A182" s="5">
        <v>4</v>
      </c>
      <c r="B182" s="5">
        <v>3</v>
      </c>
      <c r="C182" s="5">
        <v>207494</v>
      </c>
      <c r="D182" s="5" t="s">
        <v>22</v>
      </c>
      <c r="E182" s="11">
        <v>44093</v>
      </c>
      <c r="F182" s="5" t="s">
        <v>23</v>
      </c>
      <c r="G182" s="6" t="s">
        <v>149</v>
      </c>
      <c r="H182" s="5" t="s">
        <v>40</v>
      </c>
      <c r="S182" s="5">
        <v>3</v>
      </c>
      <c r="T182" s="12">
        <f t="shared" si="4"/>
        <v>3</v>
      </c>
      <c r="U182" s="5" t="s">
        <v>26</v>
      </c>
      <c r="V182" s="14"/>
    </row>
    <row r="183" spans="1:22" ht="31.2" x14ac:dyDescent="0.3">
      <c r="A183">
        <v>4</v>
      </c>
      <c r="B183">
        <v>4</v>
      </c>
      <c r="C183">
        <v>207495</v>
      </c>
      <c r="D183" t="s">
        <v>22</v>
      </c>
      <c r="E183" s="10">
        <v>44093</v>
      </c>
      <c r="F183" t="s">
        <v>23</v>
      </c>
      <c r="G183" s="3" t="s">
        <v>48</v>
      </c>
      <c r="H183" t="s">
        <v>25</v>
      </c>
      <c r="M183">
        <v>2</v>
      </c>
      <c r="N183">
        <v>1</v>
      </c>
      <c r="O183">
        <v>1</v>
      </c>
      <c r="T183" s="13">
        <f t="shared" si="4"/>
        <v>4</v>
      </c>
      <c r="U183" t="s">
        <v>26</v>
      </c>
      <c r="V183" s="15" t="s">
        <v>151</v>
      </c>
    </row>
    <row r="184" spans="1:22" x14ac:dyDescent="0.3">
      <c r="A184">
        <v>4</v>
      </c>
      <c r="B184">
        <v>4</v>
      </c>
      <c r="C184">
        <v>207495</v>
      </c>
      <c r="D184" t="s">
        <v>22</v>
      </c>
      <c r="E184" s="10">
        <v>44093</v>
      </c>
      <c r="F184" t="s">
        <v>23</v>
      </c>
      <c r="G184" s="3" t="s">
        <v>48</v>
      </c>
      <c r="H184" t="s">
        <v>33</v>
      </c>
      <c r="O184">
        <v>3</v>
      </c>
      <c r="P184">
        <v>6</v>
      </c>
      <c r="Q184">
        <v>3</v>
      </c>
      <c r="R184">
        <v>19</v>
      </c>
      <c r="T184" s="13">
        <f t="shared" ref="T184:T247" si="5">SUM(I184:S184)</f>
        <v>31</v>
      </c>
      <c r="U184" t="s">
        <v>26</v>
      </c>
    </row>
    <row r="185" spans="1:22" x14ac:dyDescent="0.3">
      <c r="A185">
        <v>4</v>
      </c>
      <c r="B185">
        <v>4</v>
      </c>
      <c r="C185">
        <v>207495</v>
      </c>
      <c r="D185" t="s">
        <v>22</v>
      </c>
      <c r="E185" s="10">
        <v>44093</v>
      </c>
      <c r="F185" t="s">
        <v>23</v>
      </c>
      <c r="G185" s="3" t="s">
        <v>48</v>
      </c>
      <c r="H185" t="s">
        <v>30</v>
      </c>
      <c r="I185">
        <v>13</v>
      </c>
      <c r="J185">
        <v>21</v>
      </c>
      <c r="T185" s="13">
        <f t="shared" si="5"/>
        <v>34</v>
      </c>
      <c r="U185" t="s">
        <v>26</v>
      </c>
    </row>
    <row r="186" spans="1:22" x14ac:dyDescent="0.3">
      <c r="A186">
        <v>4</v>
      </c>
      <c r="B186">
        <v>4</v>
      </c>
      <c r="C186">
        <v>207495</v>
      </c>
      <c r="D186" t="s">
        <v>22</v>
      </c>
      <c r="E186" s="10">
        <v>44093</v>
      </c>
      <c r="F186" t="s">
        <v>23</v>
      </c>
      <c r="G186" s="3" t="s">
        <v>48</v>
      </c>
      <c r="H186" t="s">
        <v>66</v>
      </c>
      <c r="N186">
        <v>1</v>
      </c>
      <c r="T186" s="13">
        <f t="shared" si="5"/>
        <v>1</v>
      </c>
      <c r="U186" t="s">
        <v>26</v>
      </c>
    </row>
    <row r="187" spans="1:22" x14ac:dyDescent="0.3">
      <c r="A187">
        <v>4</v>
      </c>
      <c r="B187">
        <v>4</v>
      </c>
      <c r="C187">
        <v>207495</v>
      </c>
      <c r="D187" t="s">
        <v>22</v>
      </c>
      <c r="E187" s="10">
        <v>44093</v>
      </c>
      <c r="F187" t="s">
        <v>23</v>
      </c>
      <c r="G187" s="3" t="s">
        <v>48</v>
      </c>
      <c r="H187" t="s">
        <v>31</v>
      </c>
      <c r="O187">
        <v>5</v>
      </c>
      <c r="P187">
        <v>12</v>
      </c>
      <c r="Q187">
        <v>13</v>
      </c>
      <c r="R187">
        <v>3</v>
      </c>
      <c r="T187" s="13">
        <f t="shared" si="5"/>
        <v>33</v>
      </c>
      <c r="U187" t="s">
        <v>26</v>
      </c>
    </row>
    <row r="188" spans="1:22" x14ac:dyDescent="0.3">
      <c r="A188">
        <v>4</v>
      </c>
      <c r="B188">
        <v>4</v>
      </c>
      <c r="C188">
        <v>207495</v>
      </c>
      <c r="D188" t="s">
        <v>22</v>
      </c>
      <c r="E188" s="10">
        <v>44093</v>
      </c>
      <c r="F188" t="s">
        <v>23</v>
      </c>
      <c r="G188" s="3" t="s">
        <v>48</v>
      </c>
      <c r="H188" t="s">
        <v>37</v>
      </c>
      <c r="O188">
        <v>3</v>
      </c>
      <c r="P188">
        <v>3</v>
      </c>
      <c r="Q188">
        <v>9</v>
      </c>
      <c r="R188">
        <v>7</v>
      </c>
      <c r="T188" s="13">
        <f t="shared" si="5"/>
        <v>22</v>
      </c>
      <c r="U188" t="s">
        <v>26</v>
      </c>
    </row>
    <row r="189" spans="1:22" x14ac:dyDescent="0.3">
      <c r="A189">
        <v>4</v>
      </c>
      <c r="B189">
        <v>4</v>
      </c>
      <c r="C189">
        <v>207495</v>
      </c>
      <c r="D189" t="s">
        <v>22</v>
      </c>
      <c r="E189" s="10">
        <v>44093</v>
      </c>
      <c r="F189" t="s">
        <v>23</v>
      </c>
      <c r="G189" s="3" t="s">
        <v>48</v>
      </c>
      <c r="H189" t="s">
        <v>32</v>
      </c>
      <c r="O189">
        <v>9</v>
      </c>
      <c r="T189" s="13">
        <f t="shared" si="5"/>
        <v>9</v>
      </c>
      <c r="U189" t="s">
        <v>26</v>
      </c>
    </row>
    <row r="190" spans="1:22" x14ac:dyDescent="0.3">
      <c r="A190">
        <v>4</v>
      </c>
      <c r="B190">
        <v>4</v>
      </c>
      <c r="C190">
        <v>207495</v>
      </c>
      <c r="D190" t="s">
        <v>22</v>
      </c>
      <c r="E190" s="10">
        <v>44093</v>
      </c>
      <c r="F190" t="s">
        <v>23</v>
      </c>
      <c r="G190" s="3" t="s">
        <v>48</v>
      </c>
      <c r="H190" t="s">
        <v>150</v>
      </c>
      <c r="Q190">
        <v>1</v>
      </c>
      <c r="T190" s="13">
        <f t="shared" si="5"/>
        <v>1</v>
      </c>
      <c r="U190" t="s">
        <v>26</v>
      </c>
    </row>
    <row r="191" spans="1:22" x14ac:dyDescent="0.3">
      <c r="A191">
        <v>4</v>
      </c>
      <c r="B191">
        <v>4</v>
      </c>
      <c r="C191">
        <v>207495</v>
      </c>
      <c r="D191" t="s">
        <v>22</v>
      </c>
      <c r="E191" s="10">
        <v>44093</v>
      </c>
      <c r="F191" t="s">
        <v>23</v>
      </c>
      <c r="G191" s="3" t="s">
        <v>48</v>
      </c>
      <c r="H191" t="s">
        <v>38</v>
      </c>
      <c r="P191">
        <v>25</v>
      </c>
      <c r="Q191">
        <v>26</v>
      </c>
      <c r="R191">
        <v>20</v>
      </c>
      <c r="T191" s="13">
        <f t="shared" si="5"/>
        <v>71</v>
      </c>
      <c r="U191" t="s">
        <v>26</v>
      </c>
    </row>
    <row r="192" spans="1:22" x14ac:dyDescent="0.3">
      <c r="A192">
        <v>4</v>
      </c>
      <c r="B192">
        <v>4</v>
      </c>
      <c r="C192">
        <v>207495</v>
      </c>
      <c r="D192" t="s">
        <v>22</v>
      </c>
      <c r="E192" s="10">
        <v>44093</v>
      </c>
      <c r="F192" t="s">
        <v>23</v>
      </c>
      <c r="G192" s="3" t="s">
        <v>48</v>
      </c>
      <c r="H192" t="s">
        <v>141</v>
      </c>
      <c r="S192">
        <v>1</v>
      </c>
      <c r="T192" s="13">
        <f t="shared" si="5"/>
        <v>1</v>
      </c>
      <c r="U192" t="s">
        <v>143</v>
      </c>
    </row>
    <row r="193" spans="1:22" x14ac:dyDescent="0.3">
      <c r="A193">
        <v>4</v>
      </c>
      <c r="B193">
        <v>4</v>
      </c>
      <c r="C193">
        <v>207495</v>
      </c>
      <c r="D193" t="s">
        <v>22</v>
      </c>
      <c r="E193" s="10">
        <v>44093</v>
      </c>
      <c r="F193" t="s">
        <v>23</v>
      </c>
      <c r="G193" s="3" t="s">
        <v>48</v>
      </c>
      <c r="H193" t="s">
        <v>51</v>
      </c>
      <c r="S193">
        <v>3</v>
      </c>
      <c r="T193" s="13">
        <f t="shared" si="5"/>
        <v>3</v>
      </c>
      <c r="U193" t="s">
        <v>144</v>
      </c>
    </row>
    <row r="194" spans="1:22" x14ac:dyDescent="0.3">
      <c r="A194">
        <v>4</v>
      </c>
      <c r="B194">
        <v>4</v>
      </c>
      <c r="C194">
        <v>207495</v>
      </c>
      <c r="D194" t="s">
        <v>22</v>
      </c>
      <c r="E194" s="10">
        <v>44093</v>
      </c>
      <c r="F194" t="s">
        <v>23</v>
      </c>
      <c r="G194" s="3" t="s">
        <v>48</v>
      </c>
      <c r="H194" t="s">
        <v>40</v>
      </c>
      <c r="S194">
        <v>1</v>
      </c>
      <c r="T194" s="13">
        <f t="shared" si="5"/>
        <v>1</v>
      </c>
      <c r="U194" t="s">
        <v>144</v>
      </c>
    </row>
    <row r="195" spans="1:22" x14ac:dyDescent="0.3">
      <c r="A195">
        <v>4</v>
      </c>
      <c r="B195">
        <v>4</v>
      </c>
      <c r="C195">
        <v>207495</v>
      </c>
      <c r="D195" t="s">
        <v>22</v>
      </c>
      <c r="E195" s="10">
        <v>44093</v>
      </c>
      <c r="F195" t="s">
        <v>23</v>
      </c>
      <c r="G195" s="3" t="s">
        <v>48</v>
      </c>
      <c r="H195" t="s">
        <v>41</v>
      </c>
      <c r="S195">
        <v>1</v>
      </c>
      <c r="T195" s="13">
        <f t="shared" si="5"/>
        <v>1</v>
      </c>
      <c r="U195" t="s">
        <v>144</v>
      </c>
    </row>
    <row r="196" spans="1:22" x14ac:dyDescent="0.3">
      <c r="A196">
        <v>4</v>
      </c>
      <c r="B196">
        <v>4</v>
      </c>
      <c r="C196">
        <v>207495</v>
      </c>
      <c r="D196" t="s">
        <v>22</v>
      </c>
      <c r="E196" s="10">
        <v>44093</v>
      </c>
      <c r="F196" t="s">
        <v>23</v>
      </c>
      <c r="G196" s="3" t="s">
        <v>48</v>
      </c>
      <c r="H196" t="s">
        <v>74</v>
      </c>
      <c r="Q196">
        <v>1</v>
      </c>
      <c r="T196" s="13">
        <f t="shared" si="5"/>
        <v>1</v>
      </c>
      <c r="U196" t="s">
        <v>144</v>
      </c>
    </row>
    <row r="197" spans="1:22" x14ac:dyDescent="0.3">
      <c r="A197">
        <v>4</v>
      </c>
      <c r="B197">
        <v>4</v>
      </c>
      <c r="C197">
        <v>207495</v>
      </c>
      <c r="D197" t="s">
        <v>22</v>
      </c>
      <c r="E197" s="10">
        <v>44093</v>
      </c>
      <c r="F197" t="s">
        <v>23</v>
      </c>
      <c r="G197" s="3" t="s">
        <v>48</v>
      </c>
      <c r="H197" t="s">
        <v>46</v>
      </c>
      <c r="Q197">
        <v>21</v>
      </c>
      <c r="R197">
        <v>1</v>
      </c>
      <c r="T197" s="13">
        <f t="shared" si="5"/>
        <v>22</v>
      </c>
      <c r="U197" t="s">
        <v>144</v>
      </c>
    </row>
    <row r="198" spans="1:22" s="5" customFormat="1" ht="16.2" thickBot="1" x14ac:dyDescent="0.35">
      <c r="A198" s="5">
        <v>4</v>
      </c>
      <c r="B198" s="5">
        <v>4</v>
      </c>
      <c r="C198" s="5">
        <v>207495</v>
      </c>
      <c r="D198" s="5" t="s">
        <v>22</v>
      </c>
      <c r="E198" s="11">
        <v>44093</v>
      </c>
      <c r="F198" s="5" t="s">
        <v>23</v>
      </c>
      <c r="G198" s="6" t="s">
        <v>48</v>
      </c>
      <c r="H198" s="5" t="s">
        <v>45</v>
      </c>
      <c r="K198" s="5">
        <v>1</v>
      </c>
      <c r="T198" s="12">
        <f t="shared" si="5"/>
        <v>1</v>
      </c>
      <c r="U198" s="5" t="s">
        <v>144</v>
      </c>
      <c r="V198" s="14"/>
    </row>
    <row r="199" spans="1:22" ht="31.2" x14ac:dyDescent="0.3">
      <c r="A199">
        <v>4</v>
      </c>
      <c r="B199">
        <v>5</v>
      </c>
      <c r="C199">
        <v>207496</v>
      </c>
      <c r="D199" t="s">
        <v>22</v>
      </c>
      <c r="E199" s="10">
        <v>44093</v>
      </c>
      <c r="F199" t="s">
        <v>23</v>
      </c>
      <c r="G199" s="3" t="s">
        <v>149</v>
      </c>
      <c r="H199" t="s">
        <v>25</v>
      </c>
      <c r="L199">
        <v>2</v>
      </c>
      <c r="M199">
        <v>1</v>
      </c>
      <c r="T199" s="13">
        <f t="shared" si="5"/>
        <v>3</v>
      </c>
      <c r="U199" t="s">
        <v>144</v>
      </c>
      <c r="V199" s="15" t="s">
        <v>152</v>
      </c>
    </row>
    <row r="200" spans="1:22" x14ac:dyDescent="0.3">
      <c r="A200">
        <v>4</v>
      </c>
      <c r="B200">
        <v>5</v>
      </c>
      <c r="C200">
        <v>207496</v>
      </c>
      <c r="D200" t="s">
        <v>22</v>
      </c>
      <c r="E200" s="10">
        <v>44093</v>
      </c>
      <c r="F200" t="s">
        <v>23</v>
      </c>
      <c r="G200" s="3" t="s">
        <v>149</v>
      </c>
      <c r="H200" t="s">
        <v>44</v>
      </c>
      <c r="M200">
        <v>1</v>
      </c>
      <c r="N200">
        <v>1</v>
      </c>
      <c r="T200" s="13">
        <f t="shared" si="5"/>
        <v>2</v>
      </c>
      <c r="U200" t="s">
        <v>144</v>
      </c>
    </row>
    <row r="201" spans="1:22" x14ac:dyDescent="0.3">
      <c r="A201">
        <v>4</v>
      </c>
      <c r="B201">
        <v>5</v>
      </c>
      <c r="C201">
        <v>207496</v>
      </c>
      <c r="D201" t="s">
        <v>22</v>
      </c>
      <c r="E201" s="10">
        <v>44093</v>
      </c>
      <c r="F201" t="s">
        <v>23</v>
      </c>
      <c r="G201" s="3" t="s">
        <v>149</v>
      </c>
      <c r="H201" t="s">
        <v>98</v>
      </c>
      <c r="Q201">
        <v>3</v>
      </c>
      <c r="T201" s="13">
        <f t="shared" si="5"/>
        <v>3</v>
      </c>
      <c r="U201" t="s">
        <v>144</v>
      </c>
    </row>
    <row r="202" spans="1:22" x14ac:dyDescent="0.3">
      <c r="A202">
        <v>4</v>
      </c>
      <c r="B202">
        <v>5</v>
      </c>
      <c r="C202">
        <v>207496</v>
      </c>
      <c r="D202" t="s">
        <v>22</v>
      </c>
      <c r="E202" s="10">
        <v>44093</v>
      </c>
      <c r="F202" t="s">
        <v>23</v>
      </c>
      <c r="G202" s="3" t="s">
        <v>149</v>
      </c>
      <c r="H202" t="s">
        <v>33</v>
      </c>
      <c r="O202">
        <v>1</v>
      </c>
      <c r="P202">
        <v>2</v>
      </c>
      <c r="Q202">
        <v>9</v>
      </c>
      <c r="R202">
        <v>11</v>
      </c>
      <c r="T202" s="13">
        <f t="shared" si="5"/>
        <v>23</v>
      </c>
      <c r="U202" t="s">
        <v>144</v>
      </c>
    </row>
    <row r="203" spans="1:22" x14ac:dyDescent="0.3">
      <c r="A203">
        <v>4</v>
      </c>
      <c r="B203">
        <v>5</v>
      </c>
      <c r="C203">
        <v>207496</v>
      </c>
      <c r="D203" t="s">
        <v>22</v>
      </c>
      <c r="E203" s="10">
        <v>44093</v>
      </c>
      <c r="F203" t="s">
        <v>23</v>
      </c>
      <c r="G203" s="3" t="s">
        <v>149</v>
      </c>
      <c r="H203" t="s">
        <v>150</v>
      </c>
      <c r="Q203">
        <v>2</v>
      </c>
      <c r="T203" s="13">
        <f t="shared" si="5"/>
        <v>2</v>
      </c>
      <c r="U203" t="s">
        <v>144</v>
      </c>
    </row>
    <row r="204" spans="1:22" x14ac:dyDescent="0.3">
      <c r="A204">
        <v>4</v>
      </c>
      <c r="B204">
        <v>5</v>
      </c>
      <c r="C204">
        <v>207496</v>
      </c>
      <c r="D204" t="s">
        <v>22</v>
      </c>
      <c r="E204" s="10">
        <v>44093</v>
      </c>
      <c r="F204" t="s">
        <v>23</v>
      </c>
      <c r="G204" s="3" t="s">
        <v>149</v>
      </c>
      <c r="H204" t="s">
        <v>30</v>
      </c>
      <c r="I204">
        <v>10</v>
      </c>
      <c r="J204">
        <v>19</v>
      </c>
      <c r="T204" s="13">
        <f t="shared" si="5"/>
        <v>29</v>
      </c>
      <c r="U204" t="s">
        <v>144</v>
      </c>
    </row>
    <row r="205" spans="1:22" x14ac:dyDescent="0.3">
      <c r="A205">
        <v>4</v>
      </c>
      <c r="B205">
        <v>5</v>
      </c>
      <c r="C205">
        <v>207496</v>
      </c>
      <c r="D205" t="s">
        <v>22</v>
      </c>
      <c r="E205" s="10">
        <v>44093</v>
      </c>
      <c r="F205" t="s">
        <v>23</v>
      </c>
      <c r="G205" s="3" t="s">
        <v>149</v>
      </c>
      <c r="H205" t="s">
        <v>31</v>
      </c>
      <c r="O205">
        <v>2</v>
      </c>
      <c r="P205">
        <v>2</v>
      </c>
      <c r="Q205">
        <v>4</v>
      </c>
      <c r="R205">
        <v>1</v>
      </c>
      <c r="T205" s="13">
        <f t="shared" si="5"/>
        <v>9</v>
      </c>
      <c r="U205" t="s">
        <v>144</v>
      </c>
    </row>
    <row r="206" spans="1:22" x14ac:dyDescent="0.3">
      <c r="A206">
        <v>4</v>
      </c>
      <c r="B206">
        <v>5</v>
      </c>
      <c r="C206">
        <v>207496</v>
      </c>
      <c r="D206" t="s">
        <v>22</v>
      </c>
      <c r="E206" s="10">
        <v>44093</v>
      </c>
      <c r="F206" t="s">
        <v>23</v>
      </c>
      <c r="G206" s="3" t="s">
        <v>149</v>
      </c>
      <c r="H206" t="s">
        <v>37</v>
      </c>
      <c r="O206">
        <v>3</v>
      </c>
      <c r="P206">
        <v>2</v>
      </c>
      <c r="Q206">
        <v>4</v>
      </c>
      <c r="R206">
        <v>4</v>
      </c>
      <c r="T206" s="13">
        <f t="shared" si="5"/>
        <v>13</v>
      </c>
      <c r="U206" t="s">
        <v>144</v>
      </c>
    </row>
    <row r="207" spans="1:22" x14ac:dyDescent="0.3">
      <c r="A207">
        <v>4</v>
      </c>
      <c r="B207">
        <v>5</v>
      </c>
      <c r="C207">
        <v>207496</v>
      </c>
      <c r="D207" t="s">
        <v>22</v>
      </c>
      <c r="E207" s="10">
        <v>44093</v>
      </c>
      <c r="F207" t="s">
        <v>23</v>
      </c>
      <c r="G207" s="3" t="s">
        <v>149</v>
      </c>
      <c r="H207" t="s">
        <v>32</v>
      </c>
      <c r="O207">
        <v>22</v>
      </c>
      <c r="T207" s="13">
        <f t="shared" si="5"/>
        <v>22</v>
      </c>
      <c r="U207" t="s">
        <v>144</v>
      </c>
    </row>
    <row r="208" spans="1:22" x14ac:dyDescent="0.3">
      <c r="A208">
        <v>4</v>
      </c>
      <c r="B208">
        <v>5</v>
      </c>
      <c r="C208">
        <v>207496</v>
      </c>
      <c r="D208" t="s">
        <v>22</v>
      </c>
      <c r="E208" s="10">
        <v>44093</v>
      </c>
      <c r="F208" t="s">
        <v>23</v>
      </c>
      <c r="G208" s="3" t="s">
        <v>149</v>
      </c>
      <c r="H208" t="s">
        <v>38</v>
      </c>
      <c r="P208">
        <v>18</v>
      </c>
      <c r="Q208">
        <v>12</v>
      </c>
      <c r="R208">
        <v>25</v>
      </c>
      <c r="T208" s="13">
        <f t="shared" si="5"/>
        <v>55</v>
      </c>
      <c r="U208" t="s">
        <v>144</v>
      </c>
    </row>
    <row r="209" spans="1:22" x14ac:dyDescent="0.3">
      <c r="A209">
        <v>4</v>
      </c>
      <c r="B209">
        <v>5</v>
      </c>
      <c r="C209">
        <v>207496</v>
      </c>
      <c r="D209" t="s">
        <v>22</v>
      </c>
      <c r="E209" s="10">
        <v>44093</v>
      </c>
      <c r="F209" t="s">
        <v>23</v>
      </c>
      <c r="G209" s="3" t="s">
        <v>149</v>
      </c>
      <c r="H209" t="s">
        <v>39</v>
      </c>
      <c r="R209">
        <v>1</v>
      </c>
      <c r="T209" s="13">
        <f t="shared" si="5"/>
        <v>1</v>
      </c>
      <c r="U209" t="s">
        <v>144</v>
      </c>
    </row>
    <row r="210" spans="1:22" x14ac:dyDescent="0.3">
      <c r="A210">
        <v>4</v>
      </c>
      <c r="B210">
        <v>5</v>
      </c>
      <c r="C210">
        <v>207496</v>
      </c>
      <c r="D210" t="s">
        <v>22</v>
      </c>
      <c r="E210" s="10">
        <v>44093</v>
      </c>
      <c r="F210" t="s">
        <v>23</v>
      </c>
      <c r="G210" s="3" t="s">
        <v>149</v>
      </c>
      <c r="H210" t="s">
        <v>153</v>
      </c>
      <c r="I210">
        <v>2</v>
      </c>
      <c r="T210" s="13">
        <f t="shared" si="5"/>
        <v>2</v>
      </c>
      <c r="U210" t="s">
        <v>144</v>
      </c>
    </row>
    <row r="211" spans="1:22" x14ac:dyDescent="0.3">
      <c r="A211">
        <v>4</v>
      </c>
      <c r="B211">
        <v>5</v>
      </c>
      <c r="C211">
        <v>207496</v>
      </c>
      <c r="D211" t="s">
        <v>22</v>
      </c>
      <c r="E211" s="10">
        <v>44093</v>
      </c>
      <c r="F211" t="s">
        <v>23</v>
      </c>
      <c r="G211" s="3" t="s">
        <v>149</v>
      </c>
      <c r="H211" t="s">
        <v>50</v>
      </c>
      <c r="S211">
        <v>2</v>
      </c>
      <c r="T211" s="13">
        <f t="shared" si="5"/>
        <v>2</v>
      </c>
      <c r="U211" t="s">
        <v>144</v>
      </c>
    </row>
    <row r="212" spans="1:22" x14ac:dyDescent="0.3">
      <c r="A212">
        <v>4</v>
      </c>
      <c r="B212">
        <v>5</v>
      </c>
      <c r="C212">
        <v>207496</v>
      </c>
      <c r="D212" t="s">
        <v>22</v>
      </c>
      <c r="E212" s="10">
        <v>44093</v>
      </c>
      <c r="F212" t="s">
        <v>23</v>
      </c>
      <c r="G212" s="3" t="s">
        <v>149</v>
      </c>
      <c r="H212" t="s">
        <v>41</v>
      </c>
      <c r="S212">
        <v>2</v>
      </c>
      <c r="T212" s="13">
        <f t="shared" si="5"/>
        <v>2</v>
      </c>
      <c r="U212" t="s">
        <v>144</v>
      </c>
    </row>
    <row r="213" spans="1:22" x14ac:dyDescent="0.3">
      <c r="A213">
        <v>4</v>
      </c>
      <c r="B213">
        <v>5</v>
      </c>
      <c r="C213">
        <v>207496</v>
      </c>
      <c r="D213" t="s">
        <v>22</v>
      </c>
      <c r="E213" s="10">
        <v>44093</v>
      </c>
      <c r="F213" t="s">
        <v>23</v>
      </c>
      <c r="G213" s="3" t="s">
        <v>149</v>
      </c>
      <c r="H213" t="s">
        <v>51</v>
      </c>
      <c r="S213">
        <v>4</v>
      </c>
      <c r="T213" s="13">
        <f t="shared" si="5"/>
        <v>4</v>
      </c>
      <c r="U213" t="s">
        <v>144</v>
      </c>
    </row>
    <row r="214" spans="1:22" x14ac:dyDescent="0.3">
      <c r="A214">
        <v>4</v>
      </c>
      <c r="B214">
        <v>5</v>
      </c>
      <c r="C214">
        <v>207496</v>
      </c>
      <c r="D214" t="s">
        <v>22</v>
      </c>
      <c r="E214" s="10">
        <v>44093</v>
      </c>
      <c r="F214" t="s">
        <v>23</v>
      </c>
      <c r="G214" s="3" t="s">
        <v>149</v>
      </c>
      <c r="H214" t="s">
        <v>56</v>
      </c>
      <c r="S214">
        <v>4</v>
      </c>
      <c r="T214" s="13">
        <f t="shared" si="5"/>
        <v>4</v>
      </c>
      <c r="U214" t="s">
        <v>144</v>
      </c>
    </row>
    <row r="215" spans="1:22" x14ac:dyDescent="0.3">
      <c r="A215">
        <v>4</v>
      </c>
      <c r="B215">
        <v>5</v>
      </c>
      <c r="C215">
        <v>207496</v>
      </c>
      <c r="D215" t="s">
        <v>22</v>
      </c>
      <c r="E215" s="10">
        <v>44093</v>
      </c>
      <c r="F215" t="s">
        <v>23</v>
      </c>
      <c r="G215" s="3" t="s">
        <v>149</v>
      </c>
      <c r="H215" t="s">
        <v>79</v>
      </c>
      <c r="S215">
        <v>1</v>
      </c>
      <c r="T215" s="13">
        <f t="shared" si="5"/>
        <v>1</v>
      </c>
      <c r="U215" t="s">
        <v>144</v>
      </c>
    </row>
    <row r="216" spans="1:22" x14ac:dyDescent="0.3">
      <c r="A216">
        <v>4</v>
      </c>
      <c r="B216">
        <v>5</v>
      </c>
      <c r="C216">
        <v>207496</v>
      </c>
      <c r="D216" t="s">
        <v>22</v>
      </c>
      <c r="E216" s="10">
        <v>44093</v>
      </c>
      <c r="F216" t="s">
        <v>23</v>
      </c>
      <c r="G216" s="3" t="s">
        <v>149</v>
      </c>
      <c r="H216" t="s">
        <v>45</v>
      </c>
      <c r="K216">
        <v>12</v>
      </c>
      <c r="T216" s="13">
        <f t="shared" si="5"/>
        <v>12</v>
      </c>
      <c r="U216" t="s">
        <v>144</v>
      </c>
    </row>
    <row r="217" spans="1:22" s="5" customFormat="1" ht="16.2" thickBot="1" x14ac:dyDescent="0.35">
      <c r="A217" s="5">
        <v>4</v>
      </c>
      <c r="B217" s="5">
        <v>5</v>
      </c>
      <c r="C217" s="5">
        <v>207496</v>
      </c>
      <c r="D217" s="5" t="s">
        <v>22</v>
      </c>
      <c r="E217" s="11">
        <v>44093</v>
      </c>
      <c r="F217" s="5" t="s">
        <v>23</v>
      </c>
      <c r="G217" s="6" t="s">
        <v>149</v>
      </c>
      <c r="H217" s="5" t="s">
        <v>46</v>
      </c>
      <c r="Q217" s="5">
        <v>19</v>
      </c>
      <c r="R217" s="5">
        <v>1</v>
      </c>
      <c r="T217" s="12">
        <f t="shared" si="5"/>
        <v>20</v>
      </c>
      <c r="U217" s="5" t="s">
        <v>144</v>
      </c>
      <c r="V217" s="14"/>
    </row>
    <row r="218" spans="1:22" x14ac:dyDescent="0.3">
      <c r="A218">
        <v>5</v>
      </c>
      <c r="B218">
        <v>1</v>
      </c>
      <c r="C218">
        <v>207497</v>
      </c>
      <c r="D218" t="s">
        <v>22</v>
      </c>
      <c r="E218" s="10">
        <v>44093</v>
      </c>
      <c r="F218" t="s">
        <v>23</v>
      </c>
      <c r="G218" s="3" t="s">
        <v>52</v>
      </c>
      <c r="H218" t="s">
        <v>141</v>
      </c>
      <c r="S218">
        <v>1</v>
      </c>
      <c r="T218" s="13">
        <f t="shared" si="5"/>
        <v>1</v>
      </c>
      <c r="U218" t="s">
        <v>143</v>
      </c>
    </row>
    <row r="219" spans="1:22" x14ac:dyDescent="0.3">
      <c r="A219">
        <v>5</v>
      </c>
      <c r="B219">
        <v>1</v>
      </c>
      <c r="C219">
        <v>207497</v>
      </c>
      <c r="D219" t="s">
        <v>22</v>
      </c>
      <c r="E219" s="10">
        <v>44093</v>
      </c>
      <c r="F219" t="s">
        <v>23</v>
      </c>
      <c r="G219" s="3" t="s">
        <v>52</v>
      </c>
      <c r="H219" t="s">
        <v>37</v>
      </c>
      <c r="Q219">
        <v>1</v>
      </c>
      <c r="T219" s="13">
        <f t="shared" si="5"/>
        <v>1</v>
      </c>
      <c r="U219" t="s">
        <v>144</v>
      </c>
    </row>
    <row r="220" spans="1:22" x14ac:dyDescent="0.3">
      <c r="A220">
        <v>5</v>
      </c>
      <c r="B220">
        <v>1</v>
      </c>
      <c r="C220">
        <v>207497</v>
      </c>
      <c r="D220" t="s">
        <v>22</v>
      </c>
      <c r="E220" s="10">
        <v>44093</v>
      </c>
      <c r="F220" t="s">
        <v>23</v>
      </c>
      <c r="G220" s="3" t="s">
        <v>80</v>
      </c>
      <c r="H220" t="s">
        <v>33</v>
      </c>
      <c r="L220">
        <v>1</v>
      </c>
      <c r="R220">
        <v>1</v>
      </c>
      <c r="T220" s="13">
        <f t="shared" si="5"/>
        <v>2</v>
      </c>
      <c r="U220" t="s">
        <v>144</v>
      </c>
    </row>
    <row r="221" spans="1:22" x14ac:dyDescent="0.3">
      <c r="A221">
        <v>5</v>
      </c>
      <c r="B221">
        <v>1</v>
      </c>
      <c r="C221">
        <v>207497</v>
      </c>
      <c r="D221" t="s">
        <v>22</v>
      </c>
      <c r="E221" s="10">
        <v>44093</v>
      </c>
      <c r="F221" t="s">
        <v>23</v>
      </c>
      <c r="G221" s="3" t="s">
        <v>80</v>
      </c>
      <c r="H221" t="s">
        <v>98</v>
      </c>
      <c r="Q221">
        <v>2</v>
      </c>
      <c r="T221" s="13">
        <f t="shared" si="5"/>
        <v>2</v>
      </c>
      <c r="U221" t="s">
        <v>144</v>
      </c>
    </row>
    <row r="222" spans="1:22" x14ac:dyDescent="0.3">
      <c r="A222">
        <v>5</v>
      </c>
      <c r="B222">
        <v>1</v>
      </c>
      <c r="C222">
        <v>207497</v>
      </c>
      <c r="D222" t="s">
        <v>22</v>
      </c>
      <c r="E222" s="10">
        <v>44093</v>
      </c>
      <c r="F222" t="s">
        <v>23</v>
      </c>
      <c r="G222" s="3" t="s">
        <v>80</v>
      </c>
      <c r="H222" t="s">
        <v>30</v>
      </c>
      <c r="I222">
        <v>9</v>
      </c>
      <c r="J222">
        <v>4</v>
      </c>
      <c r="T222" s="13">
        <f t="shared" si="5"/>
        <v>13</v>
      </c>
      <c r="U222" t="s">
        <v>144</v>
      </c>
    </row>
    <row r="223" spans="1:22" x14ac:dyDescent="0.3">
      <c r="A223">
        <v>5</v>
      </c>
      <c r="B223">
        <v>1</v>
      </c>
      <c r="C223">
        <v>207497</v>
      </c>
      <c r="D223" t="s">
        <v>22</v>
      </c>
      <c r="E223" s="10">
        <v>44093</v>
      </c>
      <c r="F223" t="s">
        <v>23</v>
      </c>
      <c r="G223" s="3" t="s">
        <v>80</v>
      </c>
      <c r="H223" t="s">
        <v>31</v>
      </c>
      <c r="O223">
        <v>2</v>
      </c>
      <c r="P223">
        <v>8</v>
      </c>
      <c r="Q223">
        <v>17</v>
      </c>
      <c r="R223">
        <v>4</v>
      </c>
      <c r="T223" s="13">
        <f t="shared" si="5"/>
        <v>31</v>
      </c>
      <c r="U223" t="s">
        <v>144</v>
      </c>
    </row>
    <row r="224" spans="1:22" x14ac:dyDescent="0.3">
      <c r="A224">
        <v>5</v>
      </c>
      <c r="B224">
        <v>1</v>
      </c>
      <c r="C224">
        <v>207497</v>
      </c>
      <c r="D224" t="s">
        <v>22</v>
      </c>
      <c r="E224" s="10">
        <v>44093</v>
      </c>
      <c r="F224" t="s">
        <v>23</v>
      </c>
      <c r="G224" s="3" t="s">
        <v>80</v>
      </c>
      <c r="H224" t="s">
        <v>37</v>
      </c>
      <c r="O224">
        <v>2</v>
      </c>
      <c r="P224">
        <v>2</v>
      </c>
      <c r="Q224">
        <v>21</v>
      </c>
      <c r="R224">
        <v>4</v>
      </c>
      <c r="T224" s="13">
        <f t="shared" si="5"/>
        <v>29</v>
      </c>
      <c r="U224" t="s">
        <v>144</v>
      </c>
    </row>
    <row r="225" spans="1:22" x14ac:dyDescent="0.3">
      <c r="A225">
        <v>5</v>
      </c>
      <c r="B225">
        <v>1</v>
      </c>
      <c r="C225">
        <v>207497</v>
      </c>
      <c r="D225" t="s">
        <v>22</v>
      </c>
      <c r="E225" s="10">
        <v>44093</v>
      </c>
      <c r="F225" t="s">
        <v>23</v>
      </c>
      <c r="G225" s="3" t="s">
        <v>80</v>
      </c>
      <c r="H225" t="s">
        <v>32</v>
      </c>
      <c r="O225">
        <v>3</v>
      </c>
      <c r="T225" s="13">
        <f t="shared" si="5"/>
        <v>3</v>
      </c>
      <c r="U225" t="s">
        <v>144</v>
      </c>
    </row>
    <row r="226" spans="1:22" x14ac:dyDescent="0.3">
      <c r="A226">
        <v>5</v>
      </c>
      <c r="B226">
        <v>1</v>
      </c>
      <c r="C226">
        <v>207497</v>
      </c>
      <c r="D226" t="s">
        <v>22</v>
      </c>
      <c r="E226" s="10">
        <v>44093</v>
      </c>
      <c r="F226" t="s">
        <v>23</v>
      </c>
      <c r="G226" s="3" t="s">
        <v>80</v>
      </c>
      <c r="H226" t="s">
        <v>66</v>
      </c>
      <c r="O226">
        <v>1</v>
      </c>
      <c r="T226" s="13">
        <f t="shared" si="5"/>
        <v>1</v>
      </c>
      <c r="U226" t="s">
        <v>144</v>
      </c>
    </row>
    <row r="227" spans="1:22" x14ac:dyDescent="0.3">
      <c r="A227">
        <v>5</v>
      </c>
      <c r="B227">
        <v>1</v>
      </c>
      <c r="C227">
        <v>207497</v>
      </c>
      <c r="D227" t="s">
        <v>22</v>
      </c>
      <c r="E227" s="10">
        <v>44093</v>
      </c>
      <c r="F227" t="s">
        <v>23</v>
      </c>
      <c r="G227" s="3" t="s">
        <v>80</v>
      </c>
      <c r="H227" t="s">
        <v>34</v>
      </c>
      <c r="P227">
        <v>1</v>
      </c>
      <c r="Q227">
        <v>3</v>
      </c>
      <c r="R227">
        <v>4</v>
      </c>
      <c r="T227" s="13">
        <f t="shared" si="5"/>
        <v>8</v>
      </c>
      <c r="U227" t="s">
        <v>144</v>
      </c>
    </row>
    <row r="228" spans="1:22" x14ac:dyDescent="0.3">
      <c r="A228">
        <v>5</v>
      </c>
      <c r="B228">
        <v>1</v>
      </c>
      <c r="C228">
        <v>207497</v>
      </c>
      <c r="D228" t="s">
        <v>22</v>
      </c>
      <c r="E228" s="10">
        <v>44093</v>
      </c>
      <c r="F228" t="s">
        <v>23</v>
      </c>
      <c r="G228" s="3" t="s">
        <v>80</v>
      </c>
      <c r="H228" t="s">
        <v>38</v>
      </c>
      <c r="Q228">
        <v>24</v>
      </c>
      <c r="R228">
        <v>22</v>
      </c>
      <c r="T228" s="13">
        <f t="shared" si="5"/>
        <v>46</v>
      </c>
      <c r="U228" t="s">
        <v>144</v>
      </c>
    </row>
    <row r="229" spans="1:22" x14ac:dyDescent="0.3">
      <c r="A229">
        <v>5</v>
      </c>
      <c r="B229">
        <v>1</v>
      </c>
      <c r="C229">
        <v>207497</v>
      </c>
      <c r="D229" t="s">
        <v>22</v>
      </c>
      <c r="E229" s="10">
        <v>44093</v>
      </c>
      <c r="F229" t="s">
        <v>23</v>
      </c>
      <c r="G229" s="3" t="s">
        <v>80</v>
      </c>
      <c r="H229" t="s">
        <v>41</v>
      </c>
      <c r="S229">
        <v>1</v>
      </c>
      <c r="T229" s="13">
        <f t="shared" si="5"/>
        <v>1</v>
      </c>
      <c r="U229" t="s">
        <v>144</v>
      </c>
    </row>
    <row r="230" spans="1:22" x14ac:dyDescent="0.3">
      <c r="A230">
        <v>5</v>
      </c>
      <c r="B230">
        <v>1</v>
      </c>
      <c r="C230">
        <v>207497</v>
      </c>
      <c r="D230" t="s">
        <v>22</v>
      </c>
      <c r="E230" s="10">
        <v>44093</v>
      </c>
      <c r="F230" t="s">
        <v>23</v>
      </c>
      <c r="G230" s="3" t="s">
        <v>80</v>
      </c>
      <c r="H230" t="s">
        <v>51</v>
      </c>
      <c r="S230">
        <v>2</v>
      </c>
      <c r="T230" s="13">
        <f t="shared" si="5"/>
        <v>2</v>
      </c>
      <c r="U230" t="s">
        <v>144</v>
      </c>
    </row>
    <row r="231" spans="1:22" x14ac:dyDescent="0.3">
      <c r="A231">
        <v>5</v>
      </c>
      <c r="B231">
        <v>1</v>
      </c>
      <c r="C231">
        <v>207497</v>
      </c>
      <c r="D231" t="s">
        <v>22</v>
      </c>
      <c r="E231" s="10">
        <v>44093</v>
      </c>
      <c r="F231" t="s">
        <v>23</v>
      </c>
      <c r="G231" s="3" t="s">
        <v>80</v>
      </c>
      <c r="H231" t="s">
        <v>56</v>
      </c>
      <c r="S231">
        <v>3</v>
      </c>
      <c r="T231" s="13">
        <f t="shared" si="5"/>
        <v>3</v>
      </c>
      <c r="U231" t="s">
        <v>144</v>
      </c>
    </row>
    <row r="232" spans="1:22" x14ac:dyDescent="0.3">
      <c r="A232">
        <v>5</v>
      </c>
      <c r="B232">
        <v>1</v>
      </c>
      <c r="C232">
        <v>207497</v>
      </c>
      <c r="D232" t="s">
        <v>22</v>
      </c>
      <c r="E232" s="10">
        <v>44093</v>
      </c>
      <c r="F232" t="s">
        <v>23</v>
      </c>
      <c r="G232" s="3" t="s">
        <v>80</v>
      </c>
      <c r="H232" t="s">
        <v>43</v>
      </c>
      <c r="K232">
        <v>2</v>
      </c>
      <c r="Q232">
        <v>11</v>
      </c>
      <c r="T232" s="13">
        <f t="shared" si="5"/>
        <v>13</v>
      </c>
      <c r="U232" t="s">
        <v>144</v>
      </c>
    </row>
    <row r="233" spans="1:22" x14ac:dyDescent="0.3">
      <c r="A233">
        <v>5</v>
      </c>
      <c r="B233">
        <v>1</v>
      </c>
      <c r="C233">
        <v>207497</v>
      </c>
      <c r="D233" t="s">
        <v>22</v>
      </c>
      <c r="E233" s="10">
        <v>44093</v>
      </c>
      <c r="F233" t="s">
        <v>23</v>
      </c>
      <c r="G233" s="3" t="s">
        <v>80</v>
      </c>
      <c r="H233" t="s">
        <v>46</v>
      </c>
      <c r="Q233">
        <v>12</v>
      </c>
      <c r="T233" s="13">
        <f t="shared" si="5"/>
        <v>12</v>
      </c>
      <c r="U233" t="s">
        <v>144</v>
      </c>
    </row>
    <row r="234" spans="1:22" x14ac:dyDescent="0.3">
      <c r="A234">
        <v>5</v>
      </c>
      <c r="B234">
        <v>1</v>
      </c>
      <c r="C234">
        <v>207497</v>
      </c>
      <c r="D234" t="s">
        <v>22</v>
      </c>
      <c r="E234" s="10">
        <v>44093</v>
      </c>
      <c r="F234" t="s">
        <v>23</v>
      </c>
      <c r="G234" s="3" t="s">
        <v>80</v>
      </c>
      <c r="H234" t="s">
        <v>74</v>
      </c>
      <c r="Q234">
        <v>1</v>
      </c>
      <c r="T234" s="13">
        <f t="shared" si="5"/>
        <v>1</v>
      </c>
      <c r="U234" t="s">
        <v>144</v>
      </c>
    </row>
    <row r="235" spans="1:22" x14ac:dyDescent="0.3">
      <c r="A235">
        <v>5</v>
      </c>
      <c r="B235">
        <v>1</v>
      </c>
      <c r="C235">
        <v>207497</v>
      </c>
      <c r="D235" t="s">
        <v>22</v>
      </c>
      <c r="E235" s="10">
        <v>44093</v>
      </c>
      <c r="F235" t="s">
        <v>23</v>
      </c>
      <c r="G235" s="3" t="s">
        <v>80</v>
      </c>
      <c r="H235" t="s">
        <v>45</v>
      </c>
      <c r="K235">
        <v>5</v>
      </c>
      <c r="T235" s="13">
        <f t="shared" si="5"/>
        <v>5</v>
      </c>
      <c r="U235" t="s">
        <v>144</v>
      </c>
    </row>
    <row r="236" spans="1:22" x14ac:dyDescent="0.3">
      <c r="A236">
        <v>5</v>
      </c>
      <c r="B236">
        <v>1</v>
      </c>
      <c r="C236">
        <v>207497</v>
      </c>
      <c r="D236" t="s">
        <v>22</v>
      </c>
      <c r="E236" s="10">
        <v>44093</v>
      </c>
      <c r="F236" t="s">
        <v>23</v>
      </c>
      <c r="G236" s="3" t="s">
        <v>68</v>
      </c>
      <c r="H236" t="s">
        <v>69</v>
      </c>
      <c r="I236">
        <v>1</v>
      </c>
      <c r="T236" s="13">
        <f t="shared" si="5"/>
        <v>1</v>
      </c>
      <c r="U236" t="s">
        <v>144</v>
      </c>
    </row>
    <row r="237" spans="1:22" x14ac:dyDescent="0.3">
      <c r="A237">
        <v>5</v>
      </c>
      <c r="B237">
        <v>1</v>
      </c>
      <c r="C237">
        <v>207497</v>
      </c>
      <c r="D237" t="s">
        <v>22</v>
      </c>
      <c r="E237" s="10">
        <v>44093</v>
      </c>
      <c r="F237" t="s">
        <v>23</v>
      </c>
      <c r="G237" s="3" t="s">
        <v>68</v>
      </c>
      <c r="H237" t="s">
        <v>25</v>
      </c>
      <c r="I237" s="16"/>
      <c r="M237">
        <v>1</v>
      </c>
      <c r="N237">
        <v>2</v>
      </c>
      <c r="O237">
        <v>1</v>
      </c>
      <c r="P237">
        <v>62</v>
      </c>
      <c r="Q237">
        <v>2</v>
      </c>
      <c r="T237" s="13">
        <f t="shared" si="5"/>
        <v>68</v>
      </c>
      <c r="U237" t="s">
        <v>144</v>
      </c>
    </row>
    <row r="238" spans="1:22" s="5" customFormat="1" ht="16.2" thickBot="1" x14ac:dyDescent="0.35">
      <c r="A238" s="5">
        <v>5</v>
      </c>
      <c r="B238" s="5">
        <v>1</v>
      </c>
      <c r="C238" s="5">
        <v>207497</v>
      </c>
      <c r="D238" s="5" t="s">
        <v>22</v>
      </c>
      <c r="E238" s="11">
        <v>44093</v>
      </c>
      <c r="F238" s="5" t="s">
        <v>23</v>
      </c>
      <c r="G238" s="6" t="s">
        <v>68</v>
      </c>
      <c r="H238" s="5" t="s">
        <v>27</v>
      </c>
      <c r="I238" s="22"/>
      <c r="P238" s="5">
        <v>1</v>
      </c>
      <c r="T238" s="12">
        <f t="shared" si="5"/>
        <v>1</v>
      </c>
      <c r="U238" s="5" t="s">
        <v>144</v>
      </c>
      <c r="V238" s="14"/>
    </row>
    <row r="239" spans="1:22" x14ac:dyDescent="0.3">
      <c r="A239">
        <v>5</v>
      </c>
      <c r="B239">
        <v>2</v>
      </c>
      <c r="C239">
        <v>207498</v>
      </c>
      <c r="D239" t="s">
        <v>22</v>
      </c>
      <c r="E239" s="10">
        <v>44093</v>
      </c>
      <c r="F239" t="s">
        <v>23</v>
      </c>
      <c r="G239" s="3" t="s">
        <v>97</v>
      </c>
      <c r="H239" t="s">
        <v>25</v>
      </c>
      <c r="M239">
        <v>1</v>
      </c>
      <c r="N239">
        <v>13</v>
      </c>
      <c r="O239">
        <v>14</v>
      </c>
      <c r="P239">
        <v>47</v>
      </c>
      <c r="Q239">
        <v>7</v>
      </c>
      <c r="R239">
        <v>1</v>
      </c>
      <c r="T239" s="13">
        <f t="shared" si="5"/>
        <v>83</v>
      </c>
      <c r="U239" t="s">
        <v>144</v>
      </c>
    </row>
    <row r="240" spans="1:22" x14ac:dyDescent="0.3">
      <c r="A240">
        <v>5</v>
      </c>
      <c r="B240">
        <v>2</v>
      </c>
      <c r="C240">
        <v>207498</v>
      </c>
      <c r="D240" t="s">
        <v>22</v>
      </c>
      <c r="E240" s="10">
        <v>44093</v>
      </c>
      <c r="F240" t="s">
        <v>23</v>
      </c>
      <c r="G240" s="3" t="s">
        <v>97</v>
      </c>
      <c r="H240" t="s">
        <v>69</v>
      </c>
      <c r="I240">
        <v>5</v>
      </c>
      <c r="T240" s="13">
        <f t="shared" si="5"/>
        <v>5</v>
      </c>
      <c r="U240" t="s">
        <v>144</v>
      </c>
    </row>
    <row r="241" spans="1:22" x14ac:dyDescent="0.3">
      <c r="A241">
        <v>5</v>
      </c>
      <c r="B241">
        <v>2</v>
      </c>
      <c r="C241">
        <v>207498</v>
      </c>
      <c r="D241" t="s">
        <v>22</v>
      </c>
      <c r="E241" s="10">
        <v>44093</v>
      </c>
      <c r="F241" t="s">
        <v>23</v>
      </c>
      <c r="G241" s="3" t="s">
        <v>73</v>
      </c>
      <c r="H241" t="s">
        <v>33</v>
      </c>
      <c r="N241">
        <v>2</v>
      </c>
      <c r="Q241">
        <v>2</v>
      </c>
      <c r="R241">
        <v>2</v>
      </c>
      <c r="T241" s="13">
        <f t="shared" si="5"/>
        <v>6</v>
      </c>
      <c r="U241" t="s">
        <v>144</v>
      </c>
    </row>
    <row r="242" spans="1:22" x14ac:dyDescent="0.3">
      <c r="A242">
        <v>5</v>
      </c>
      <c r="B242">
        <v>2</v>
      </c>
      <c r="C242">
        <v>207498</v>
      </c>
      <c r="D242" t="s">
        <v>22</v>
      </c>
      <c r="E242" s="10">
        <v>44093</v>
      </c>
      <c r="F242" t="s">
        <v>23</v>
      </c>
      <c r="G242" s="3" t="s">
        <v>73</v>
      </c>
      <c r="H242" t="s">
        <v>98</v>
      </c>
      <c r="Q242">
        <v>3</v>
      </c>
      <c r="T242" s="13">
        <f t="shared" si="5"/>
        <v>3</v>
      </c>
      <c r="U242" t="s">
        <v>144</v>
      </c>
    </row>
    <row r="243" spans="1:22" x14ac:dyDescent="0.3">
      <c r="A243">
        <v>5</v>
      </c>
      <c r="B243">
        <v>2</v>
      </c>
      <c r="C243">
        <v>207498</v>
      </c>
      <c r="D243" t="s">
        <v>22</v>
      </c>
      <c r="E243" s="10">
        <v>44093</v>
      </c>
      <c r="F243" t="s">
        <v>23</v>
      </c>
      <c r="G243" s="3" t="s">
        <v>73</v>
      </c>
      <c r="H243" t="s">
        <v>30</v>
      </c>
      <c r="I243">
        <v>4</v>
      </c>
      <c r="J243">
        <v>9</v>
      </c>
      <c r="T243" s="13">
        <f t="shared" si="5"/>
        <v>13</v>
      </c>
      <c r="U243" t="s">
        <v>144</v>
      </c>
    </row>
    <row r="244" spans="1:22" x14ac:dyDescent="0.3">
      <c r="A244">
        <v>5</v>
      </c>
      <c r="B244">
        <v>2</v>
      </c>
      <c r="C244">
        <v>207498</v>
      </c>
      <c r="D244" t="s">
        <v>22</v>
      </c>
      <c r="E244" s="10">
        <v>44093</v>
      </c>
      <c r="F244" t="s">
        <v>23</v>
      </c>
      <c r="G244" s="3" t="s">
        <v>73</v>
      </c>
      <c r="H244" t="s">
        <v>67</v>
      </c>
      <c r="J244">
        <v>1</v>
      </c>
      <c r="T244" s="13">
        <f t="shared" si="5"/>
        <v>1</v>
      </c>
      <c r="U244" t="s">
        <v>144</v>
      </c>
    </row>
    <row r="245" spans="1:22" x14ac:dyDescent="0.3">
      <c r="A245">
        <v>5</v>
      </c>
      <c r="B245">
        <v>2</v>
      </c>
      <c r="C245">
        <v>207498</v>
      </c>
      <c r="D245" t="s">
        <v>22</v>
      </c>
      <c r="E245" s="10">
        <v>44093</v>
      </c>
      <c r="F245" t="s">
        <v>23</v>
      </c>
      <c r="G245" s="3" t="s">
        <v>73</v>
      </c>
      <c r="H245" t="s">
        <v>31</v>
      </c>
      <c r="O245">
        <v>2</v>
      </c>
      <c r="P245">
        <v>4</v>
      </c>
      <c r="Q245">
        <v>6</v>
      </c>
      <c r="R245">
        <v>4</v>
      </c>
      <c r="T245" s="13">
        <f t="shared" si="5"/>
        <v>16</v>
      </c>
      <c r="U245" t="s">
        <v>144</v>
      </c>
    </row>
    <row r="246" spans="1:22" x14ac:dyDescent="0.3">
      <c r="A246">
        <v>5</v>
      </c>
      <c r="B246">
        <v>2</v>
      </c>
      <c r="C246">
        <v>207498</v>
      </c>
      <c r="D246" t="s">
        <v>22</v>
      </c>
      <c r="E246" s="10">
        <v>44093</v>
      </c>
      <c r="F246" t="s">
        <v>23</v>
      </c>
      <c r="G246" s="3" t="s">
        <v>73</v>
      </c>
      <c r="H246" t="s">
        <v>37</v>
      </c>
      <c r="O246">
        <v>5</v>
      </c>
      <c r="P246">
        <v>4</v>
      </c>
      <c r="Q246">
        <v>15</v>
      </c>
      <c r="R246">
        <v>7</v>
      </c>
      <c r="T246" s="13">
        <f t="shared" si="5"/>
        <v>31</v>
      </c>
      <c r="U246" t="s">
        <v>144</v>
      </c>
    </row>
    <row r="247" spans="1:22" x14ac:dyDescent="0.3">
      <c r="A247">
        <v>5</v>
      </c>
      <c r="B247">
        <v>2</v>
      </c>
      <c r="C247">
        <v>207498</v>
      </c>
      <c r="D247" t="s">
        <v>22</v>
      </c>
      <c r="E247" s="10">
        <v>44093</v>
      </c>
      <c r="F247" t="s">
        <v>23</v>
      </c>
      <c r="G247" s="3" t="s">
        <v>73</v>
      </c>
      <c r="H247" t="s">
        <v>32</v>
      </c>
      <c r="O247">
        <v>21</v>
      </c>
      <c r="T247" s="13">
        <f t="shared" si="5"/>
        <v>21</v>
      </c>
      <c r="U247" t="s">
        <v>144</v>
      </c>
    </row>
    <row r="248" spans="1:22" x14ac:dyDescent="0.3">
      <c r="A248">
        <v>5</v>
      </c>
      <c r="B248">
        <v>2</v>
      </c>
      <c r="C248">
        <v>207498</v>
      </c>
      <c r="D248" t="s">
        <v>22</v>
      </c>
      <c r="E248" s="10">
        <v>44093</v>
      </c>
      <c r="F248" t="s">
        <v>23</v>
      </c>
      <c r="G248" s="3" t="s">
        <v>73</v>
      </c>
      <c r="H248" t="s">
        <v>38</v>
      </c>
      <c r="P248">
        <v>20</v>
      </c>
      <c r="Q248">
        <v>30</v>
      </c>
      <c r="R248">
        <v>42</v>
      </c>
      <c r="T248" s="13">
        <f t="shared" ref="T248:T311" si="6">SUM(I248:S248)</f>
        <v>92</v>
      </c>
      <c r="U248" t="s">
        <v>144</v>
      </c>
    </row>
    <row r="249" spans="1:22" x14ac:dyDescent="0.3">
      <c r="A249">
        <v>5</v>
      </c>
      <c r="B249">
        <v>2</v>
      </c>
      <c r="C249">
        <v>207498</v>
      </c>
      <c r="D249" t="s">
        <v>22</v>
      </c>
      <c r="E249" s="10">
        <v>44093</v>
      </c>
      <c r="F249" t="s">
        <v>23</v>
      </c>
      <c r="G249" s="3" t="s">
        <v>73</v>
      </c>
      <c r="H249" t="s">
        <v>34</v>
      </c>
      <c r="Q249">
        <v>1</v>
      </c>
      <c r="T249" s="13">
        <f t="shared" si="6"/>
        <v>1</v>
      </c>
      <c r="U249" t="s">
        <v>144</v>
      </c>
    </row>
    <row r="250" spans="1:22" x14ac:dyDescent="0.3">
      <c r="A250">
        <v>5</v>
      </c>
      <c r="B250">
        <v>2</v>
      </c>
      <c r="C250">
        <v>207498</v>
      </c>
      <c r="D250" t="s">
        <v>22</v>
      </c>
      <c r="E250" s="10">
        <v>44093</v>
      </c>
      <c r="F250" t="s">
        <v>23</v>
      </c>
      <c r="G250" s="3" t="s">
        <v>73</v>
      </c>
      <c r="H250" t="s">
        <v>43</v>
      </c>
      <c r="Q250">
        <v>3</v>
      </c>
      <c r="T250" s="13">
        <f t="shared" si="6"/>
        <v>3</v>
      </c>
      <c r="U250" t="s">
        <v>144</v>
      </c>
    </row>
    <row r="251" spans="1:22" x14ac:dyDescent="0.3">
      <c r="A251">
        <v>5</v>
      </c>
      <c r="B251">
        <v>2</v>
      </c>
      <c r="C251">
        <v>207498</v>
      </c>
      <c r="D251" t="s">
        <v>22</v>
      </c>
      <c r="E251" s="10">
        <v>44093</v>
      </c>
      <c r="F251" t="s">
        <v>23</v>
      </c>
      <c r="G251" s="3" t="s">
        <v>73</v>
      </c>
      <c r="H251" t="s">
        <v>41</v>
      </c>
      <c r="S251">
        <v>4</v>
      </c>
      <c r="T251" s="13">
        <f t="shared" si="6"/>
        <v>4</v>
      </c>
      <c r="U251" t="s">
        <v>144</v>
      </c>
    </row>
    <row r="252" spans="1:22" x14ac:dyDescent="0.3">
      <c r="A252">
        <v>5</v>
      </c>
      <c r="B252">
        <v>2</v>
      </c>
      <c r="C252">
        <v>207498</v>
      </c>
      <c r="D252" t="s">
        <v>22</v>
      </c>
      <c r="E252" s="10">
        <v>44093</v>
      </c>
      <c r="F252" t="s">
        <v>23</v>
      </c>
      <c r="G252" s="3" t="s">
        <v>73</v>
      </c>
      <c r="H252" t="s">
        <v>40</v>
      </c>
      <c r="S252">
        <v>1</v>
      </c>
      <c r="T252" s="13">
        <f t="shared" si="6"/>
        <v>1</v>
      </c>
      <c r="U252" t="s">
        <v>144</v>
      </c>
    </row>
    <row r="253" spans="1:22" x14ac:dyDescent="0.3">
      <c r="A253">
        <v>5</v>
      </c>
      <c r="B253">
        <v>2</v>
      </c>
      <c r="C253">
        <v>207498</v>
      </c>
      <c r="D253" t="s">
        <v>22</v>
      </c>
      <c r="E253" s="10">
        <v>44093</v>
      </c>
      <c r="F253" t="s">
        <v>23</v>
      </c>
      <c r="G253" s="3" t="s">
        <v>73</v>
      </c>
      <c r="H253" t="s">
        <v>45</v>
      </c>
      <c r="K253">
        <v>4</v>
      </c>
      <c r="T253" s="13">
        <f t="shared" si="6"/>
        <v>4</v>
      </c>
      <c r="U253" t="s">
        <v>144</v>
      </c>
    </row>
    <row r="254" spans="1:22" s="5" customFormat="1" ht="16.2" thickBot="1" x14ac:dyDescent="0.35">
      <c r="A254" s="5">
        <v>5</v>
      </c>
      <c r="B254" s="5">
        <v>2</v>
      </c>
      <c r="C254" s="5">
        <v>207498</v>
      </c>
      <c r="D254" s="5" t="s">
        <v>22</v>
      </c>
      <c r="E254" s="11">
        <v>44093</v>
      </c>
      <c r="F254" s="5" t="s">
        <v>23</v>
      </c>
      <c r="G254" s="6" t="s">
        <v>73</v>
      </c>
      <c r="H254" s="5" t="s">
        <v>46</v>
      </c>
      <c r="Q254" s="5">
        <v>21</v>
      </c>
      <c r="R254" s="5">
        <v>3</v>
      </c>
      <c r="T254" s="12">
        <f t="shared" si="6"/>
        <v>24</v>
      </c>
      <c r="U254" s="5" t="s">
        <v>144</v>
      </c>
      <c r="V254" s="14"/>
    </row>
    <row r="255" spans="1:22" x14ac:dyDescent="0.3">
      <c r="A255">
        <v>5</v>
      </c>
      <c r="B255">
        <v>3</v>
      </c>
      <c r="C255">
        <v>207499</v>
      </c>
      <c r="D255" t="s">
        <v>22</v>
      </c>
      <c r="E255" s="10">
        <v>44093</v>
      </c>
      <c r="F255" t="s">
        <v>23</v>
      </c>
      <c r="G255" s="3" t="s">
        <v>52</v>
      </c>
      <c r="H255" t="s">
        <v>141</v>
      </c>
      <c r="S255">
        <v>1</v>
      </c>
      <c r="T255" s="13">
        <f t="shared" si="6"/>
        <v>1</v>
      </c>
      <c r="U255" t="s">
        <v>143</v>
      </c>
    </row>
    <row r="256" spans="1:22" ht="46.8" x14ac:dyDescent="0.3">
      <c r="A256">
        <v>5</v>
      </c>
      <c r="B256">
        <v>3</v>
      </c>
      <c r="C256">
        <v>207499</v>
      </c>
      <c r="D256" t="s">
        <v>22</v>
      </c>
      <c r="E256" s="10">
        <v>44093</v>
      </c>
      <c r="F256" t="s">
        <v>23</v>
      </c>
      <c r="G256" s="3" t="s">
        <v>48</v>
      </c>
      <c r="H256" t="s">
        <v>25</v>
      </c>
      <c r="N256">
        <v>1</v>
      </c>
      <c r="P256">
        <v>4</v>
      </c>
      <c r="T256" s="13">
        <f t="shared" si="6"/>
        <v>5</v>
      </c>
      <c r="U256" t="s">
        <v>144</v>
      </c>
      <c r="V256" s="15" t="s">
        <v>154</v>
      </c>
    </row>
    <row r="257" spans="1:22" x14ac:dyDescent="0.3">
      <c r="A257">
        <v>5</v>
      </c>
      <c r="B257">
        <v>3</v>
      </c>
      <c r="C257">
        <v>207499</v>
      </c>
      <c r="D257" t="s">
        <v>22</v>
      </c>
      <c r="E257" s="10">
        <v>44093</v>
      </c>
      <c r="F257" t="s">
        <v>23</v>
      </c>
      <c r="G257" s="3" t="s">
        <v>48</v>
      </c>
      <c r="H257" t="s">
        <v>33</v>
      </c>
      <c r="P257">
        <v>1</v>
      </c>
      <c r="Q257">
        <v>8</v>
      </c>
      <c r="R257">
        <v>8</v>
      </c>
      <c r="T257" s="13">
        <f t="shared" si="6"/>
        <v>17</v>
      </c>
      <c r="U257" t="s">
        <v>144</v>
      </c>
    </row>
    <row r="258" spans="1:22" x14ac:dyDescent="0.3">
      <c r="A258">
        <v>5</v>
      </c>
      <c r="B258">
        <v>3</v>
      </c>
      <c r="C258">
        <v>207499</v>
      </c>
      <c r="D258" t="s">
        <v>22</v>
      </c>
      <c r="E258" s="10">
        <v>44093</v>
      </c>
      <c r="F258" t="s">
        <v>23</v>
      </c>
      <c r="G258" s="3" t="s">
        <v>48</v>
      </c>
      <c r="H258" t="s">
        <v>98</v>
      </c>
      <c r="Q258">
        <v>1</v>
      </c>
      <c r="R258">
        <v>2</v>
      </c>
      <c r="T258" s="13">
        <f t="shared" si="6"/>
        <v>3</v>
      </c>
      <c r="U258" t="s">
        <v>144</v>
      </c>
    </row>
    <row r="259" spans="1:22" x14ac:dyDescent="0.3">
      <c r="A259">
        <v>5</v>
      </c>
      <c r="B259">
        <v>3</v>
      </c>
      <c r="C259">
        <v>207499</v>
      </c>
      <c r="D259" t="s">
        <v>22</v>
      </c>
      <c r="E259" s="10">
        <v>44093</v>
      </c>
      <c r="F259" t="s">
        <v>23</v>
      </c>
      <c r="G259" s="3" t="s">
        <v>48</v>
      </c>
      <c r="H259" t="s">
        <v>30</v>
      </c>
      <c r="I259">
        <v>11</v>
      </c>
      <c r="J259">
        <v>15</v>
      </c>
      <c r="T259" s="13">
        <f t="shared" si="6"/>
        <v>26</v>
      </c>
      <c r="U259" t="s">
        <v>144</v>
      </c>
    </row>
    <row r="260" spans="1:22" x14ac:dyDescent="0.3">
      <c r="A260">
        <v>5</v>
      </c>
      <c r="B260">
        <v>3</v>
      </c>
      <c r="C260">
        <v>207499</v>
      </c>
      <c r="D260" t="s">
        <v>22</v>
      </c>
      <c r="E260" s="10">
        <v>44093</v>
      </c>
      <c r="F260" t="s">
        <v>23</v>
      </c>
      <c r="G260" s="3" t="s">
        <v>48</v>
      </c>
      <c r="H260" t="s">
        <v>31</v>
      </c>
      <c r="O260">
        <v>7</v>
      </c>
      <c r="P260">
        <v>5</v>
      </c>
      <c r="Q260">
        <v>6</v>
      </c>
      <c r="R260">
        <v>5</v>
      </c>
      <c r="T260" s="13">
        <f t="shared" si="6"/>
        <v>23</v>
      </c>
      <c r="U260" t="s">
        <v>144</v>
      </c>
    </row>
    <row r="261" spans="1:22" x14ac:dyDescent="0.3">
      <c r="A261">
        <v>5</v>
      </c>
      <c r="B261">
        <v>3</v>
      </c>
      <c r="C261">
        <v>207499</v>
      </c>
      <c r="D261" t="s">
        <v>22</v>
      </c>
      <c r="E261" s="10">
        <v>44093</v>
      </c>
      <c r="F261" t="s">
        <v>23</v>
      </c>
      <c r="G261" s="3" t="s">
        <v>48</v>
      </c>
      <c r="H261" t="s">
        <v>37</v>
      </c>
      <c r="O261">
        <v>3</v>
      </c>
      <c r="P261">
        <v>2</v>
      </c>
      <c r="Q261">
        <v>9</v>
      </c>
      <c r="R261">
        <v>2</v>
      </c>
      <c r="T261" s="13">
        <f t="shared" si="6"/>
        <v>16</v>
      </c>
      <c r="U261" t="s">
        <v>144</v>
      </c>
    </row>
    <row r="262" spans="1:22" x14ac:dyDescent="0.3">
      <c r="A262">
        <v>5</v>
      </c>
      <c r="B262">
        <v>3</v>
      </c>
      <c r="C262">
        <v>207499</v>
      </c>
      <c r="D262" t="s">
        <v>22</v>
      </c>
      <c r="E262" s="10">
        <v>44093</v>
      </c>
      <c r="F262" t="s">
        <v>23</v>
      </c>
      <c r="G262" s="3" t="s">
        <v>48</v>
      </c>
      <c r="H262" t="s">
        <v>32</v>
      </c>
      <c r="O262">
        <v>8</v>
      </c>
      <c r="T262" s="13">
        <f t="shared" si="6"/>
        <v>8</v>
      </c>
      <c r="U262" t="s">
        <v>144</v>
      </c>
    </row>
    <row r="263" spans="1:22" x14ac:dyDescent="0.3">
      <c r="A263">
        <v>5</v>
      </c>
      <c r="B263">
        <v>3</v>
      </c>
      <c r="C263">
        <v>207499</v>
      </c>
      <c r="D263" t="s">
        <v>22</v>
      </c>
      <c r="E263" s="10">
        <v>44093</v>
      </c>
      <c r="F263" t="s">
        <v>23</v>
      </c>
      <c r="G263" s="3" t="s">
        <v>48</v>
      </c>
      <c r="H263" t="s">
        <v>66</v>
      </c>
      <c r="O263">
        <v>1</v>
      </c>
      <c r="T263" s="13">
        <f t="shared" si="6"/>
        <v>1</v>
      </c>
      <c r="U263" t="s">
        <v>144</v>
      </c>
    </row>
    <row r="264" spans="1:22" x14ac:dyDescent="0.3">
      <c r="A264">
        <v>5</v>
      </c>
      <c r="B264">
        <v>3</v>
      </c>
      <c r="C264">
        <v>207499</v>
      </c>
      <c r="D264" t="s">
        <v>22</v>
      </c>
      <c r="E264" s="10">
        <v>44093</v>
      </c>
      <c r="F264" t="s">
        <v>23</v>
      </c>
      <c r="G264" s="3" t="s">
        <v>48</v>
      </c>
      <c r="H264" t="s">
        <v>38</v>
      </c>
      <c r="P264">
        <v>20</v>
      </c>
      <c r="Q264">
        <v>34</v>
      </c>
      <c r="R264">
        <v>42</v>
      </c>
      <c r="T264" s="13">
        <f t="shared" si="6"/>
        <v>96</v>
      </c>
      <c r="U264" t="s">
        <v>144</v>
      </c>
    </row>
    <row r="265" spans="1:22" x14ac:dyDescent="0.3">
      <c r="A265">
        <v>5</v>
      </c>
      <c r="B265">
        <v>3</v>
      </c>
      <c r="C265">
        <v>207499</v>
      </c>
      <c r="D265" t="s">
        <v>22</v>
      </c>
      <c r="E265" s="10">
        <v>44093</v>
      </c>
      <c r="F265" t="s">
        <v>23</v>
      </c>
      <c r="G265" s="3" t="s">
        <v>48</v>
      </c>
      <c r="H265" t="s">
        <v>39</v>
      </c>
      <c r="R265">
        <v>3</v>
      </c>
      <c r="T265" s="13">
        <f t="shared" si="6"/>
        <v>3</v>
      </c>
      <c r="U265" t="s">
        <v>144</v>
      </c>
    </row>
    <row r="266" spans="1:22" x14ac:dyDescent="0.3">
      <c r="A266">
        <v>5</v>
      </c>
      <c r="B266">
        <v>3</v>
      </c>
      <c r="C266">
        <v>207499</v>
      </c>
      <c r="D266" t="s">
        <v>22</v>
      </c>
      <c r="E266" s="10">
        <v>44093</v>
      </c>
      <c r="F266" t="s">
        <v>23</v>
      </c>
      <c r="G266" s="3" t="s">
        <v>48</v>
      </c>
      <c r="H266" t="s">
        <v>43</v>
      </c>
      <c r="K266">
        <v>1</v>
      </c>
      <c r="T266" s="13">
        <f t="shared" si="6"/>
        <v>1</v>
      </c>
      <c r="U266" t="s">
        <v>144</v>
      </c>
    </row>
    <row r="267" spans="1:22" x14ac:dyDescent="0.3">
      <c r="A267">
        <v>5</v>
      </c>
      <c r="B267">
        <v>3</v>
      </c>
      <c r="C267">
        <v>207499</v>
      </c>
      <c r="D267" t="s">
        <v>22</v>
      </c>
      <c r="E267" s="10">
        <v>44093</v>
      </c>
      <c r="F267" t="s">
        <v>23</v>
      </c>
      <c r="G267" s="3" t="s">
        <v>48</v>
      </c>
      <c r="H267" t="s">
        <v>34</v>
      </c>
      <c r="P267">
        <v>1</v>
      </c>
      <c r="T267" s="13">
        <f t="shared" si="6"/>
        <v>1</v>
      </c>
      <c r="U267" t="s">
        <v>144</v>
      </c>
    </row>
    <row r="268" spans="1:22" x14ac:dyDescent="0.3">
      <c r="A268">
        <v>5</v>
      </c>
      <c r="B268">
        <v>3</v>
      </c>
      <c r="C268">
        <v>207499</v>
      </c>
      <c r="D268" t="s">
        <v>22</v>
      </c>
      <c r="E268" s="10">
        <v>44093</v>
      </c>
      <c r="F268" t="s">
        <v>23</v>
      </c>
      <c r="G268" s="3" t="s">
        <v>48</v>
      </c>
      <c r="H268" t="s">
        <v>51</v>
      </c>
      <c r="S268">
        <v>1</v>
      </c>
      <c r="T268" s="13">
        <f t="shared" si="6"/>
        <v>1</v>
      </c>
      <c r="U268" t="s">
        <v>144</v>
      </c>
    </row>
    <row r="269" spans="1:22" x14ac:dyDescent="0.3">
      <c r="A269">
        <v>5</v>
      </c>
      <c r="B269">
        <v>3</v>
      </c>
      <c r="C269">
        <v>207499</v>
      </c>
      <c r="D269" t="s">
        <v>22</v>
      </c>
      <c r="E269" s="10">
        <v>44093</v>
      </c>
      <c r="F269" t="s">
        <v>23</v>
      </c>
      <c r="G269" s="3" t="s">
        <v>48</v>
      </c>
      <c r="H269" t="s">
        <v>40</v>
      </c>
      <c r="S269">
        <v>1</v>
      </c>
      <c r="T269" s="13">
        <f t="shared" si="6"/>
        <v>1</v>
      </c>
      <c r="U269" t="s">
        <v>144</v>
      </c>
    </row>
    <row r="270" spans="1:22" x14ac:dyDescent="0.3">
      <c r="A270">
        <v>5</v>
      </c>
      <c r="B270">
        <v>3</v>
      </c>
      <c r="C270">
        <v>207499</v>
      </c>
      <c r="D270" t="s">
        <v>22</v>
      </c>
      <c r="E270" s="10">
        <v>44093</v>
      </c>
      <c r="F270" t="s">
        <v>23</v>
      </c>
      <c r="G270" s="3" t="s">
        <v>48</v>
      </c>
      <c r="H270" t="s">
        <v>41</v>
      </c>
      <c r="S270">
        <v>1</v>
      </c>
      <c r="T270" s="13">
        <f t="shared" si="6"/>
        <v>1</v>
      </c>
      <c r="U270" t="s">
        <v>144</v>
      </c>
    </row>
    <row r="271" spans="1:22" x14ac:dyDescent="0.3">
      <c r="A271">
        <v>5</v>
      </c>
      <c r="B271">
        <v>3</v>
      </c>
      <c r="C271">
        <v>207499</v>
      </c>
      <c r="D271" t="s">
        <v>22</v>
      </c>
      <c r="E271" s="10">
        <v>44093</v>
      </c>
      <c r="F271" t="s">
        <v>23</v>
      </c>
      <c r="G271" s="3" t="s">
        <v>48</v>
      </c>
      <c r="H271" t="s">
        <v>46</v>
      </c>
      <c r="Q271">
        <v>1</v>
      </c>
      <c r="R271">
        <v>10</v>
      </c>
      <c r="T271" s="13">
        <f t="shared" si="6"/>
        <v>11</v>
      </c>
      <c r="U271" t="s">
        <v>144</v>
      </c>
    </row>
    <row r="272" spans="1:22" s="5" customFormat="1" ht="16.2" thickBot="1" x14ac:dyDescent="0.35">
      <c r="A272" s="5">
        <v>5</v>
      </c>
      <c r="B272" s="5">
        <v>3</v>
      </c>
      <c r="C272" s="5">
        <v>207499</v>
      </c>
      <c r="D272" s="5" t="s">
        <v>22</v>
      </c>
      <c r="E272" s="11">
        <v>44093</v>
      </c>
      <c r="F272" s="5" t="s">
        <v>23</v>
      </c>
      <c r="G272" s="6" t="s">
        <v>48</v>
      </c>
      <c r="H272" s="5" t="s">
        <v>45</v>
      </c>
      <c r="K272" s="5">
        <v>2</v>
      </c>
      <c r="T272" s="12">
        <f t="shared" si="6"/>
        <v>2</v>
      </c>
      <c r="U272" s="5" t="s">
        <v>144</v>
      </c>
      <c r="V272" s="14"/>
    </row>
    <row r="273" spans="1:22" ht="31.2" x14ac:dyDescent="0.3">
      <c r="A273">
        <v>5</v>
      </c>
      <c r="B273">
        <v>4</v>
      </c>
      <c r="C273">
        <v>207500</v>
      </c>
      <c r="D273" t="s">
        <v>22</v>
      </c>
      <c r="E273" s="10">
        <v>44093</v>
      </c>
      <c r="F273" t="s">
        <v>23</v>
      </c>
      <c r="G273" s="3" t="s">
        <v>90</v>
      </c>
      <c r="H273" t="s">
        <v>33</v>
      </c>
      <c r="O273">
        <v>2</v>
      </c>
      <c r="P273">
        <v>1</v>
      </c>
      <c r="Q273">
        <v>5</v>
      </c>
      <c r="R273">
        <v>9</v>
      </c>
      <c r="T273" s="13">
        <f t="shared" si="6"/>
        <v>17</v>
      </c>
      <c r="U273" t="s">
        <v>144</v>
      </c>
      <c r="V273" s="15" t="s">
        <v>220</v>
      </c>
    </row>
    <row r="274" spans="1:22" x14ac:dyDescent="0.3">
      <c r="A274">
        <v>5</v>
      </c>
      <c r="B274">
        <v>4</v>
      </c>
      <c r="C274">
        <v>207500</v>
      </c>
      <c r="D274" t="s">
        <v>22</v>
      </c>
      <c r="E274" s="10">
        <v>44093</v>
      </c>
      <c r="F274" t="s">
        <v>23</v>
      </c>
      <c r="G274" s="3" t="s">
        <v>90</v>
      </c>
      <c r="H274" t="s">
        <v>98</v>
      </c>
      <c r="Q274">
        <v>1</v>
      </c>
      <c r="T274" s="13">
        <f t="shared" si="6"/>
        <v>1</v>
      </c>
      <c r="U274" t="s">
        <v>144</v>
      </c>
    </row>
    <row r="275" spans="1:22" x14ac:dyDescent="0.3">
      <c r="A275">
        <v>5</v>
      </c>
      <c r="B275">
        <v>4</v>
      </c>
      <c r="C275">
        <v>207500</v>
      </c>
      <c r="D275" t="s">
        <v>22</v>
      </c>
      <c r="E275" s="10">
        <v>44093</v>
      </c>
      <c r="F275" t="s">
        <v>23</v>
      </c>
      <c r="G275" s="3" t="s">
        <v>90</v>
      </c>
      <c r="H275" t="s">
        <v>30</v>
      </c>
      <c r="I275">
        <v>6</v>
      </c>
      <c r="J275">
        <v>14</v>
      </c>
      <c r="T275" s="13">
        <f t="shared" si="6"/>
        <v>20</v>
      </c>
      <c r="U275" t="s">
        <v>144</v>
      </c>
    </row>
    <row r="276" spans="1:22" x14ac:dyDescent="0.3">
      <c r="A276">
        <v>5</v>
      </c>
      <c r="B276">
        <v>4</v>
      </c>
      <c r="C276">
        <v>207500</v>
      </c>
      <c r="D276" t="s">
        <v>22</v>
      </c>
      <c r="E276" s="10">
        <v>44093</v>
      </c>
      <c r="F276" t="s">
        <v>23</v>
      </c>
      <c r="G276" s="3" t="s">
        <v>90</v>
      </c>
      <c r="H276" t="s">
        <v>31</v>
      </c>
      <c r="O276">
        <v>2</v>
      </c>
      <c r="P276">
        <v>4</v>
      </c>
      <c r="Q276">
        <v>2</v>
      </c>
      <c r="R276">
        <v>1</v>
      </c>
      <c r="T276" s="13">
        <f t="shared" si="6"/>
        <v>9</v>
      </c>
      <c r="U276" t="s">
        <v>144</v>
      </c>
    </row>
    <row r="277" spans="1:22" x14ac:dyDescent="0.3">
      <c r="A277">
        <v>5</v>
      </c>
      <c r="B277">
        <v>4</v>
      </c>
      <c r="C277">
        <v>207500</v>
      </c>
      <c r="D277" t="s">
        <v>22</v>
      </c>
      <c r="E277" s="10">
        <v>44093</v>
      </c>
      <c r="F277" t="s">
        <v>23</v>
      </c>
      <c r="G277" s="3" t="s">
        <v>90</v>
      </c>
      <c r="H277" t="s">
        <v>37</v>
      </c>
      <c r="O277">
        <v>3</v>
      </c>
      <c r="P277">
        <v>5</v>
      </c>
      <c r="Q277">
        <v>6</v>
      </c>
      <c r="R277">
        <v>3</v>
      </c>
      <c r="T277" s="13">
        <f t="shared" si="6"/>
        <v>17</v>
      </c>
      <c r="U277" t="s">
        <v>144</v>
      </c>
    </row>
    <row r="278" spans="1:22" x14ac:dyDescent="0.3">
      <c r="A278">
        <v>5</v>
      </c>
      <c r="B278">
        <v>4</v>
      </c>
      <c r="C278">
        <v>207500</v>
      </c>
      <c r="D278" t="s">
        <v>22</v>
      </c>
      <c r="E278" s="10">
        <v>44093</v>
      </c>
      <c r="F278" t="s">
        <v>23</v>
      </c>
      <c r="G278" s="3" t="s">
        <v>90</v>
      </c>
      <c r="H278" t="s">
        <v>32</v>
      </c>
      <c r="O278">
        <v>19</v>
      </c>
      <c r="T278" s="13">
        <f t="shared" si="6"/>
        <v>19</v>
      </c>
      <c r="U278" t="s">
        <v>144</v>
      </c>
    </row>
    <row r="279" spans="1:22" x14ac:dyDescent="0.3">
      <c r="A279">
        <v>5</v>
      </c>
      <c r="B279">
        <v>4</v>
      </c>
      <c r="C279">
        <v>207500</v>
      </c>
      <c r="D279" t="s">
        <v>22</v>
      </c>
      <c r="E279" s="10">
        <v>44093</v>
      </c>
      <c r="F279" t="s">
        <v>23</v>
      </c>
      <c r="G279" s="3" t="s">
        <v>90</v>
      </c>
      <c r="H279" t="s">
        <v>38</v>
      </c>
      <c r="P279">
        <v>35</v>
      </c>
      <c r="Q279">
        <v>26</v>
      </c>
      <c r="R279">
        <v>45</v>
      </c>
      <c r="T279" s="13">
        <f t="shared" si="6"/>
        <v>106</v>
      </c>
      <c r="U279" t="s">
        <v>144</v>
      </c>
    </row>
    <row r="280" spans="1:22" x14ac:dyDescent="0.3">
      <c r="A280">
        <v>5</v>
      </c>
      <c r="B280">
        <v>4</v>
      </c>
      <c r="C280">
        <v>207500</v>
      </c>
      <c r="D280" t="s">
        <v>22</v>
      </c>
      <c r="E280" s="10">
        <v>44093</v>
      </c>
      <c r="F280" t="s">
        <v>23</v>
      </c>
      <c r="G280" s="3" t="s">
        <v>90</v>
      </c>
      <c r="H280" t="s">
        <v>55</v>
      </c>
      <c r="S280">
        <v>3</v>
      </c>
      <c r="T280" s="13">
        <f t="shared" si="6"/>
        <v>3</v>
      </c>
      <c r="U280" t="s">
        <v>144</v>
      </c>
    </row>
    <row r="281" spans="1:22" x14ac:dyDescent="0.3">
      <c r="A281">
        <v>5</v>
      </c>
      <c r="B281">
        <v>4</v>
      </c>
      <c r="C281">
        <v>207500</v>
      </c>
      <c r="D281" t="s">
        <v>22</v>
      </c>
      <c r="E281" s="10">
        <v>44093</v>
      </c>
      <c r="F281" t="s">
        <v>23</v>
      </c>
      <c r="G281" s="3" t="s">
        <v>90</v>
      </c>
      <c r="H281" t="s">
        <v>41</v>
      </c>
      <c r="S281">
        <v>3</v>
      </c>
      <c r="T281" s="13">
        <f t="shared" si="6"/>
        <v>3</v>
      </c>
      <c r="U281" t="s">
        <v>144</v>
      </c>
    </row>
    <row r="282" spans="1:22" x14ac:dyDescent="0.3">
      <c r="A282">
        <v>5</v>
      </c>
      <c r="B282">
        <v>4</v>
      </c>
      <c r="C282">
        <v>207500</v>
      </c>
      <c r="D282" t="s">
        <v>22</v>
      </c>
      <c r="E282" s="10">
        <v>44093</v>
      </c>
      <c r="F282" t="s">
        <v>23</v>
      </c>
      <c r="G282" s="3" t="s">
        <v>90</v>
      </c>
      <c r="H282" t="s">
        <v>51</v>
      </c>
      <c r="S282">
        <v>6</v>
      </c>
      <c r="T282" s="13">
        <f t="shared" si="6"/>
        <v>6</v>
      </c>
      <c r="U282" t="s">
        <v>144</v>
      </c>
    </row>
    <row r="283" spans="1:22" x14ac:dyDescent="0.3">
      <c r="A283">
        <v>5</v>
      </c>
      <c r="B283">
        <v>4</v>
      </c>
      <c r="C283">
        <v>207500</v>
      </c>
      <c r="D283" t="s">
        <v>22</v>
      </c>
      <c r="E283" s="10">
        <v>44093</v>
      </c>
      <c r="F283" t="s">
        <v>23</v>
      </c>
      <c r="G283" s="3" t="s">
        <v>90</v>
      </c>
      <c r="H283" t="s">
        <v>45</v>
      </c>
      <c r="K283">
        <v>4</v>
      </c>
      <c r="T283" s="13">
        <f t="shared" si="6"/>
        <v>4</v>
      </c>
      <c r="U283" t="s">
        <v>144</v>
      </c>
    </row>
    <row r="284" spans="1:22" s="5" customFormat="1" ht="16.2" thickBot="1" x14ac:dyDescent="0.35">
      <c r="A284" s="5">
        <v>5</v>
      </c>
      <c r="B284" s="5">
        <v>4</v>
      </c>
      <c r="C284" s="5">
        <v>207500</v>
      </c>
      <c r="D284" s="5" t="s">
        <v>22</v>
      </c>
      <c r="E284" s="11">
        <v>44093</v>
      </c>
      <c r="F284" s="5" t="s">
        <v>23</v>
      </c>
      <c r="G284" s="6" t="s">
        <v>90</v>
      </c>
      <c r="H284" s="5" t="s">
        <v>46</v>
      </c>
      <c r="Q284" s="5">
        <v>20</v>
      </c>
      <c r="R284" s="5">
        <v>2</v>
      </c>
      <c r="T284" s="12">
        <f t="shared" si="6"/>
        <v>22</v>
      </c>
      <c r="U284" s="5" t="s">
        <v>144</v>
      </c>
      <c r="V284" s="14"/>
    </row>
    <row r="285" spans="1:22" x14ac:dyDescent="0.3">
      <c r="A285">
        <v>5</v>
      </c>
      <c r="B285">
        <v>5</v>
      </c>
      <c r="C285">
        <v>207854</v>
      </c>
      <c r="D285" t="s">
        <v>22</v>
      </c>
      <c r="E285" s="10">
        <v>44093</v>
      </c>
      <c r="F285" t="s">
        <v>23</v>
      </c>
      <c r="G285" s="3" t="s">
        <v>145</v>
      </c>
      <c r="H285" t="s">
        <v>25</v>
      </c>
      <c r="M285">
        <v>7</v>
      </c>
      <c r="N285">
        <v>11</v>
      </c>
      <c r="O285">
        <v>57</v>
      </c>
      <c r="P285">
        <v>21</v>
      </c>
      <c r="Q285">
        <v>1</v>
      </c>
      <c r="T285" s="13">
        <f t="shared" si="6"/>
        <v>97</v>
      </c>
      <c r="U285" t="s">
        <v>144</v>
      </c>
      <c r="V285" s="15" t="s">
        <v>221</v>
      </c>
    </row>
    <row r="286" spans="1:22" x14ac:dyDescent="0.3">
      <c r="A286">
        <v>5</v>
      </c>
      <c r="B286">
        <v>5</v>
      </c>
      <c r="C286">
        <v>207854</v>
      </c>
      <c r="D286" t="s">
        <v>22</v>
      </c>
      <c r="E286" s="10">
        <v>44093</v>
      </c>
      <c r="F286" t="s">
        <v>23</v>
      </c>
      <c r="G286" s="3" t="s">
        <v>162</v>
      </c>
      <c r="H286" t="s">
        <v>33</v>
      </c>
      <c r="R286">
        <v>1</v>
      </c>
      <c r="T286" s="13">
        <f t="shared" si="6"/>
        <v>1</v>
      </c>
      <c r="U286" t="s">
        <v>144</v>
      </c>
    </row>
    <row r="287" spans="1:22" x14ac:dyDescent="0.3">
      <c r="A287">
        <v>5</v>
      </c>
      <c r="B287">
        <v>5</v>
      </c>
      <c r="C287">
        <v>207854</v>
      </c>
      <c r="D287" t="s">
        <v>22</v>
      </c>
      <c r="E287" s="10">
        <v>44093</v>
      </c>
      <c r="F287" t="s">
        <v>23</v>
      </c>
      <c r="G287" s="3" t="s">
        <v>162</v>
      </c>
      <c r="H287" t="s">
        <v>71</v>
      </c>
      <c r="P287">
        <v>3</v>
      </c>
      <c r="Q287">
        <v>1</v>
      </c>
      <c r="T287" s="13">
        <f t="shared" si="6"/>
        <v>4</v>
      </c>
      <c r="U287" t="s">
        <v>144</v>
      </c>
    </row>
    <row r="288" spans="1:22" x14ac:dyDescent="0.3">
      <c r="A288">
        <v>5</v>
      </c>
      <c r="B288">
        <v>5</v>
      </c>
      <c r="C288">
        <v>207854</v>
      </c>
      <c r="D288" t="s">
        <v>22</v>
      </c>
      <c r="E288" s="10">
        <v>44093</v>
      </c>
      <c r="F288" t="s">
        <v>23</v>
      </c>
      <c r="G288" s="3" t="s">
        <v>162</v>
      </c>
      <c r="H288" t="s">
        <v>30</v>
      </c>
      <c r="I288">
        <v>9</v>
      </c>
      <c r="J288">
        <v>17</v>
      </c>
      <c r="T288" s="13">
        <f t="shared" si="6"/>
        <v>26</v>
      </c>
      <c r="U288" t="s">
        <v>144</v>
      </c>
    </row>
    <row r="289" spans="1:22" x14ac:dyDescent="0.3">
      <c r="A289">
        <v>5</v>
      </c>
      <c r="B289">
        <v>5</v>
      </c>
      <c r="C289">
        <v>207854</v>
      </c>
      <c r="D289" t="s">
        <v>22</v>
      </c>
      <c r="E289" s="10">
        <v>44093</v>
      </c>
      <c r="F289" t="s">
        <v>23</v>
      </c>
      <c r="G289" s="3" t="s">
        <v>162</v>
      </c>
      <c r="H289" t="s">
        <v>31</v>
      </c>
      <c r="O289">
        <v>2</v>
      </c>
      <c r="P289">
        <v>3</v>
      </c>
      <c r="Q289">
        <v>6</v>
      </c>
      <c r="R289">
        <v>1</v>
      </c>
      <c r="T289" s="13">
        <f t="shared" si="6"/>
        <v>12</v>
      </c>
      <c r="U289" t="s">
        <v>144</v>
      </c>
    </row>
    <row r="290" spans="1:22" x14ac:dyDescent="0.3">
      <c r="A290">
        <v>5</v>
      </c>
      <c r="B290">
        <v>5</v>
      </c>
      <c r="C290">
        <v>207854</v>
      </c>
      <c r="D290" t="s">
        <v>22</v>
      </c>
      <c r="E290" s="10">
        <v>44093</v>
      </c>
      <c r="F290" t="s">
        <v>23</v>
      </c>
      <c r="G290" s="3" t="s">
        <v>162</v>
      </c>
      <c r="H290" t="s">
        <v>37</v>
      </c>
      <c r="O290">
        <v>2</v>
      </c>
      <c r="P290">
        <v>7</v>
      </c>
      <c r="Q290">
        <v>9</v>
      </c>
      <c r="R290">
        <v>2</v>
      </c>
      <c r="T290" s="13">
        <f t="shared" si="6"/>
        <v>20</v>
      </c>
      <c r="U290" t="s">
        <v>144</v>
      </c>
    </row>
    <row r="291" spans="1:22" x14ac:dyDescent="0.3">
      <c r="A291">
        <v>5</v>
      </c>
      <c r="B291">
        <v>5</v>
      </c>
      <c r="C291">
        <v>207854</v>
      </c>
      <c r="D291" t="s">
        <v>22</v>
      </c>
      <c r="E291" s="10">
        <v>44093</v>
      </c>
      <c r="F291" t="s">
        <v>23</v>
      </c>
      <c r="G291" s="3" t="s">
        <v>162</v>
      </c>
      <c r="H291" t="s">
        <v>32</v>
      </c>
      <c r="O291">
        <v>16</v>
      </c>
      <c r="T291" s="13">
        <f t="shared" si="6"/>
        <v>16</v>
      </c>
      <c r="U291" t="s">
        <v>144</v>
      </c>
    </row>
    <row r="292" spans="1:22" x14ac:dyDescent="0.3">
      <c r="A292">
        <v>5</v>
      </c>
      <c r="B292">
        <v>5</v>
      </c>
      <c r="C292">
        <v>207854</v>
      </c>
      <c r="D292" t="s">
        <v>22</v>
      </c>
      <c r="E292" s="10">
        <v>44093</v>
      </c>
      <c r="F292" t="s">
        <v>23</v>
      </c>
      <c r="G292" s="3" t="s">
        <v>162</v>
      </c>
      <c r="H292" t="s">
        <v>38</v>
      </c>
      <c r="P292">
        <v>32</v>
      </c>
      <c r="Q292">
        <v>12</v>
      </c>
      <c r="R292">
        <v>18</v>
      </c>
      <c r="T292" s="13">
        <f t="shared" si="6"/>
        <v>62</v>
      </c>
      <c r="U292" t="s">
        <v>144</v>
      </c>
    </row>
    <row r="293" spans="1:22" x14ac:dyDescent="0.3">
      <c r="A293">
        <v>5</v>
      </c>
      <c r="B293">
        <v>5</v>
      </c>
      <c r="C293">
        <v>207854</v>
      </c>
      <c r="D293" t="s">
        <v>22</v>
      </c>
      <c r="E293" s="10">
        <v>44093</v>
      </c>
      <c r="F293" t="s">
        <v>23</v>
      </c>
      <c r="G293" s="3" t="s">
        <v>162</v>
      </c>
      <c r="H293" t="s">
        <v>56</v>
      </c>
      <c r="S293">
        <v>10</v>
      </c>
      <c r="T293" s="13">
        <f t="shared" si="6"/>
        <v>10</v>
      </c>
      <c r="U293" t="s">
        <v>144</v>
      </c>
    </row>
    <row r="294" spans="1:22" x14ac:dyDescent="0.3">
      <c r="A294">
        <v>5</v>
      </c>
      <c r="B294">
        <v>5</v>
      </c>
      <c r="C294">
        <v>207854</v>
      </c>
      <c r="D294" t="s">
        <v>22</v>
      </c>
      <c r="E294" s="10">
        <v>44093</v>
      </c>
      <c r="F294" t="s">
        <v>23</v>
      </c>
      <c r="G294" s="3" t="s">
        <v>162</v>
      </c>
      <c r="H294" t="s">
        <v>57</v>
      </c>
      <c r="S294">
        <v>1</v>
      </c>
      <c r="T294" s="13">
        <f t="shared" si="6"/>
        <v>1</v>
      </c>
      <c r="U294" t="s">
        <v>144</v>
      </c>
    </row>
    <row r="295" spans="1:22" x14ac:dyDescent="0.3">
      <c r="A295">
        <v>5</v>
      </c>
      <c r="B295">
        <v>5</v>
      </c>
      <c r="C295">
        <v>207854</v>
      </c>
      <c r="D295" t="s">
        <v>22</v>
      </c>
      <c r="E295" s="10">
        <v>44093</v>
      </c>
      <c r="F295" t="s">
        <v>23</v>
      </c>
      <c r="G295" s="3" t="s">
        <v>162</v>
      </c>
      <c r="H295" t="s">
        <v>163</v>
      </c>
      <c r="S295">
        <v>1</v>
      </c>
      <c r="T295" s="13">
        <f t="shared" si="6"/>
        <v>1</v>
      </c>
      <c r="U295" t="s">
        <v>144</v>
      </c>
    </row>
    <row r="296" spans="1:22" x14ac:dyDescent="0.3">
      <c r="A296">
        <v>5</v>
      </c>
      <c r="B296">
        <v>5</v>
      </c>
      <c r="C296">
        <v>207854</v>
      </c>
      <c r="D296" t="s">
        <v>22</v>
      </c>
      <c r="E296" s="10">
        <v>44093</v>
      </c>
      <c r="F296" t="s">
        <v>23</v>
      </c>
      <c r="G296" s="3" t="s">
        <v>162</v>
      </c>
      <c r="H296" t="s">
        <v>44</v>
      </c>
      <c r="N296">
        <v>1</v>
      </c>
      <c r="T296" s="13">
        <f t="shared" si="6"/>
        <v>1</v>
      </c>
      <c r="U296" t="s">
        <v>144</v>
      </c>
    </row>
    <row r="297" spans="1:22" x14ac:dyDescent="0.3">
      <c r="A297">
        <v>5</v>
      </c>
      <c r="B297">
        <v>5</v>
      </c>
      <c r="C297">
        <v>207854</v>
      </c>
      <c r="D297" t="s">
        <v>22</v>
      </c>
      <c r="E297" s="10">
        <v>44093</v>
      </c>
      <c r="F297" t="s">
        <v>23</v>
      </c>
      <c r="G297" s="3" t="s">
        <v>162</v>
      </c>
      <c r="H297" t="s">
        <v>45</v>
      </c>
      <c r="J297">
        <v>2</v>
      </c>
      <c r="K297">
        <v>14</v>
      </c>
      <c r="T297" s="13">
        <f t="shared" si="6"/>
        <v>16</v>
      </c>
      <c r="U297" t="s">
        <v>144</v>
      </c>
    </row>
    <row r="298" spans="1:22" x14ac:dyDescent="0.3">
      <c r="A298">
        <v>5</v>
      </c>
      <c r="B298">
        <v>5</v>
      </c>
      <c r="C298">
        <v>207854</v>
      </c>
      <c r="D298" t="s">
        <v>22</v>
      </c>
      <c r="E298" s="10">
        <v>44093</v>
      </c>
      <c r="F298" t="s">
        <v>23</v>
      </c>
      <c r="G298" s="3" t="s">
        <v>162</v>
      </c>
      <c r="H298" t="s">
        <v>46</v>
      </c>
      <c r="Q298">
        <v>37</v>
      </c>
      <c r="T298" s="13">
        <f t="shared" si="6"/>
        <v>37</v>
      </c>
      <c r="U298" t="s">
        <v>144</v>
      </c>
    </row>
    <row r="299" spans="1:22" x14ac:dyDescent="0.3">
      <c r="A299">
        <v>5</v>
      </c>
      <c r="B299">
        <v>5</v>
      </c>
      <c r="C299">
        <v>207854</v>
      </c>
      <c r="D299" t="s">
        <v>22</v>
      </c>
      <c r="E299" s="10">
        <v>44093</v>
      </c>
      <c r="F299" t="s">
        <v>23</v>
      </c>
      <c r="G299" s="3" t="s">
        <v>145</v>
      </c>
      <c r="H299" t="s">
        <v>69</v>
      </c>
      <c r="I299">
        <v>1</v>
      </c>
      <c r="T299" s="13">
        <f t="shared" si="6"/>
        <v>1</v>
      </c>
      <c r="U299" t="s">
        <v>144</v>
      </c>
    </row>
    <row r="300" spans="1:22" s="5" customFormat="1" ht="16.2" thickBot="1" x14ac:dyDescent="0.35">
      <c r="A300" s="5">
        <v>5</v>
      </c>
      <c r="B300" s="5">
        <v>5</v>
      </c>
      <c r="C300" s="5">
        <v>207854</v>
      </c>
      <c r="D300" s="5" t="s">
        <v>22</v>
      </c>
      <c r="E300" s="11">
        <v>44093</v>
      </c>
      <c r="F300" s="5" t="s">
        <v>23</v>
      </c>
      <c r="G300" s="6" t="s">
        <v>145</v>
      </c>
      <c r="H300" s="5" t="s">
        <v>186</v>
      </c>
      <c r="O300" s="5">
        <v>1</v>
      </c>
      <c r="T300" s="12">
        <f t="shared" si="6"/>
        <v>1</v>
      </c>
      <c r="U300" s="5" t="s">
        <v>144</v>
      </c>
      <c r="V300" s="14"/>
    </row>
    <row r="301" spans="1:22" x14ac:dyDescent="0.3">
      <c r="A301">
        <v>6</v>
      </c>
      <c r="B301">
        <v>1</v>
      </c>
      <c r="C301">
        <v>207855</v>
      </c>
      <c r="D301" t="s">
        <v>22</v>
      </c>
      <c r="E301" s="10">
        <v>44094</v>
      </c>
      <c r="F301" t="s">
        <v>23</v>
      </c>
      <c r="G301" s="3" t="s">
        <v>87</v>
      </c>
      <c r="H301" t="s">
        <v>25</v>
      </c>
      <c r="N301">
        <v>2</v>
      </c>
      <c r="O301">
        <v>22</v>
      </c>
      <c r="P301">
        <v>66</v>
      </c>
      <c r="Q301">
        <v>3</v>
      </c>
      <c r="R301">
        <v>1</v>
      </c>
      <c r="T301" s="13">
        <f t="shared" si="6"/>
        <v>94</v>
      </c>
      <c r="U301" t="s">
        <v>144</v>
      </c>
      <c r="V301" s="15" t="s">
        <v>221</v>
      </c>
    </row>
    <row r="302" spans="1:22" x14ac:dyDescent="0.3">
      <c r="A302">
        <v>6</v>
      </c>
      <c r="B302">
        <v>1</v>
      </c>
      <c r="C302">
        <v>207855</v>
      </c>
      <c r="D302" t="s">
        <v>22</v>
      </c>
      <c r="E302" s="10">
        <v>44094</v>
      </c>
      <c r="F302" t="s">
        <v>23</v>
      </c>
      <c r="G302" s="3" t="s">
        <v>87</v>
      </c>
      <c r="H302" t="s">
        <v>27</v>
      </c>
      <c r="P302">
        <v>2</v>
      </c>
      <c r="T302" s="13">
        <f t="shared" si="6"/>
        <v>2</v>
      </c>
      <c r="U302" t="s">
        <v>144</v>
      </c>
    </row>
    <row r="303" spans="1:22" x14ac:dyDescent="0.3">
      <c r="A303">
        <v>6</v>
      </c>
      <c r="B303">
        <v>1</v>
      </c>
      <c r="C303">
        <v>207855</v>
      </c>
      <c r="D303" t="s">
        <v>22</v>
      </c>
      <c r="E303" s="10">
        <v>44094</v>
      </c>
      <c r="F303" t="s">
        <v>23</v>
      </c>
      <c r="G303" s="3" t="s">
        <v>87</v>
      </c>
      <c r="H303" t="s">
        <v>69</v>
      </c>
      <c r="I303">
        <v>2</v>
      </c>
      <c r="T303" s="13">
        <f t="shared" si="6"/>
        <v>2</v>
      </c>
      <c r="U303" t="s">
        <v>144</v>
      </c>
    </row>
    <row r="304" spans="1:22" x14ac:dyDescent="0.3">
      <c r="A304">
        <v>6</v>
      </c>
      <c r="B304">
        <v>1</v>
      </c>
      <c r="C304">
        <v>207855</v>
      </c>
      <c r="D304" t="s">
        <v>22</v>
      </c>
      <c r="E304" s="10">
        <v>44094</v>
      </c>
      <c r="F304" t="s">
        <v>23</v>
      </c>
      <c r="G304" s="3" t="s">
        <v>28</v>
      </c>
      <c r="H304" t="s">
        <v>33</v>
      </c>
      <c r="Q304">
        <v>1</v>
      </c>
      <c r="R304">
        <v>1</v>
      </c>
      <c r="T304" s="13">
        <f t="shared" si="6"/>
        <v>2</v>
      </c>
      <c r="U304" t="s">
        <v>144</v>
      </c>
    </row>
    <row r="305" spans="1:22" x14ac:dyDescent="0.3">
      <c r="A305">
        <v>6</v>
      </c>
      <c r="B305">
        <v>1</v>
      </c>
      <c r="C305">
        <v>207855</v>
      </c>
      <c r="D305" t="s">
        <v>22</v>
      </c>
      <c r="E305" s="10">
        <v>44094</v>
      </c>
      <c r="F305" t="s">
        <v>23</v>
      </c>
      <c r="G305" s="3" t="s">
        <v>28</v>
      </c>
      <c r="H305" t="s">
        <v>98</v>
      </c>
      <c r="Q305">
        <v>1</v>
      </c>
      <c r="T305" s="13">
        <f t="shared" si="6"/>
        <v>1</v>
      </c>
      <c r="U305" t="s">
        <v>144</v>
      </c>
    </row>
    <row r="306" spans="1:22" x14ac:dyDescent="0.3">
      <c r="A306">
        <v>6</v>
      </c>
      <c r="B306">
        <v>1</v>
      </c>
      <c r="C306">
        <v>207855</v>
      </c>
      <c r="D306" t="s">
        <v>22</v>
      </c>
      <c r="E306" s="10">
        <v>44094</v>
      </c>
      <c r="F306" t="s">
        <v>23</v>
      </c>
      <c r="G306" s="3" t="s">
        <v>28</v>
      </c>
      <c r="H306" t="s">
        <v>30</v>
      </c>
      <c r="I306">
        <v>5</v>
      </c>
      <c r="J306">
        <v>2</v>
      </c>
      <c r="T306" s="13">
        <f t="shared" si="6"/>
        <v>7</v>
      </c>
      <c r="U306" t="s">
        <v>144</v>
      </c>
    </row>
    <row r="307" spans="1:22" x14ac:dyDescent="0.3">
      <c r="A307">
        <v>6</v>
      </c>
      <c r="B307">
        <v>1</v>
      </c>
      <c r="C307">
        <v>207855</v>
      </c>
      <c r="D307" t="s">
        <v>22</v>
      </c>
      <c r="E307" s="10">
        <v>44094</v>
      </c>
      <c r="F307" t="s">
        <v>23</v>
      </c>
      <c r="G307" s="3" t="s">
        <v>28</v>
      </c>
      <c r="H307" t="s">
        <v>192</v>
      </c>
      <c r="S307">
        <v>1</v>
      </c>
      <c r="T307" s="13">
        <f t="shared" si="6"/>
        <v>1</v>
      </c>
      <c r="U307" t="s">
        <v>144</v>
      </c>
    </row>
    <row r="308" spans="1:22" x14ac:dyDescent="0.3">
      <c r="A308">
        <v>6</v>
      </c>
      <c r="B308">
        <v>1</v>
      </c>
      <c r="C308">
        <v>207855</v>
      </c>
      <c r="D308" t="s">
        <v>22</v>
      </c>
      <c r="E308" s="10">
        <v>44094</v>
      </c>
      <c r="F308" t="s">
        <v>23</v>
      </c>
      <c r="G308" s="3" t="s">
        <v>28</v>
      </c>
      <c r="H308" t="s">
        <v>31</v>
      </c>
      <c r="O308">
        <v>1</v>
      </c>
      <c r="P308">
        <v>3</v>
      </c>
      <c r="Q308">
        <v>10</v>
      </c>
      <c r="R308">
        <v>1</v>
      </c>
      <c r="T308" s="13">
        <f t="shared" si="6"/>
        <v>15</v>
      </c>
      <c r="U308" t="s">
        <v>144</v>
      </c>
    </row>
    <row r="309" spans="1:22" x14ac:dyDescent="0.3">
      <c r="A309">
        <v>6</v>
      </c>
      <c r="B309">
        <v>1</v>
      </c>
      <c r="C309">
        <v>207855</v>
      </c>
      <c r="D309" t="s">
        <v>22</v>
      </c>
      <c r="E309" s="10">
        <v>44094</v>
      </c>
      <c r="F309" t="s">
        <v>23</v>
      </c>
      <c r="G309" s="3" t="s">
        <v>28</v>
      </c>
      <c r="H309" t="s">
        <v>37</v>
      </c>
      <c r="O309">
        <v>1</v>
      </c>
      <c r="P309">
        <v>1</v>
      </c>
      <c r="Q309">
        <v>5</v>
      </c>
      <c r="R309">
        <v>2</v>
      </c>
      <c r="T309" s="13">
        <f t="shared" si="6"/>
        <v>9</v>
      </c>
      <c r="U309" t="s">
        <v>144</v>
      </c>
    </row>
    <row r="310" spans="1:22" x14ac:dyDescent="0.3">
      <c r="A310">
        <v>6</v>
      </c>
      <c r="B310">
        <v>1</v>
      </c>
      <c r="C310">
        <v>207855</v>
      </c>
      <c r="D310" t="s">
        <v>22</v>
      </c>
      <c r="E310" s="10">
        <v>44094</v>
      </c>
      <c r="F310" t="s">
        <v>23</v>
      </c>
      <c r="G310" s="3" t="s">
        <v>28</v>
      </c>
      <c r="H310" t="s">
        <v>32</v>
      </c>
      <c r="O310">
        <v>1</v>
      </c>
      <c r="T310" s="13">
        <f t="shared" si="6"/>
        <v>1</v>
      </c>
      <c r="U310" t="s">
        <v>144</v>
      </c>
    </row>
    <row r="311" spans="1:22" x14ac:dyDescent="0.3">
      <c r="A311">
        <v>6</v>
      </c>
      <c r="B311">
        <v>1</v>
      </c>
      <c r="C311">
        <v>207855</v>
      </c>
      <c r="D311" t="s">
        <v>22</v>
      </c>
      <c r="E311" s="10">
        <v>44094</v>
      </c>
      <c r="F311" t="s">
        <v>23</v>
      </c>
      <c r="G311" s="3" t="s">
        <v>28</v>
      </c>
      <c r="H311" t="s">
        <v>66</v>
      </c>
      <c r="N311">
        <v>1</v>
      </c>
      <c r="T311" s="13">
        <f t="shared" si="6"/>
        <v>1</v>
      </c>
      <c r="U311" t="s">
        <v>144</v>
      </c>
    </row>
    <row r="312" spans="1:22" x14ac:dyDescent="0.3">
      <c r="A312">
        <v>6</v>
      </c>
      <c r="B312">
        <v>1</v>
      </c>
      <c r="C312">
        <v>207855</v>
      </c>
      <c r="D312" t="s">
        <v>22</v>
      </c>
      <c r="E312" s="10">
        <v>44094</v>
      </c>
      <c r="F312" t="s">
        <v>23</v>
      </c>
      <c r="G312" s="3" t="s">
        <v>28</v>
      </c>
      <c r="H312" t="s">
        <v>34</v>
      </c>
      <c r="P312">
        <v>1</v>
      </c>
      <c r="Q312">
        <v>4</v>
      </c>
      <c r="R312">
        <v>2</v>
      </c>
      <c r="T312" s="13">
        <f t="shared" ref="T312:T375" si="7">SUM(I312:S312)</f>
        <v>7</v>
      </c>
      <c r="U312" t="s">
        <v>144</v>
      </c>
    </row>
    <row r="313" spans="1:22" x14ac:dyDescent="0.3">
      <c r="A313">
        <v>6</v>
      </c>
      <c r="B313">
        <v>1</v>
      </c>
      <c r="C313">
        <v>207855</v>
      </c>
      <c r="D313" t="s">
        <v>22</v>
      </c>
      <c r="E313" s="10">
        <v>44094</v>
      </c>
      <c r="F313" t="s">
        <v>23</v>
      </c>
      <c r="G313" s="3" t="s">
        <v>28</v>
      </c>
      <c r="H313" t="s">
        <v>38</v>
      </c>
      <c r="P313">
        <v>4</v>
      </c>
      <c r="Q313">
        <v>35</v>
      </c>
      <c r="R313">
        <v>63</v>
      </c>
      <c r="T313" s="13">
        <f t="shared" si="7"/>
        <v>102</v>
      </c>
      <c r="U313" t="s">
        <v>144</v>
      </c>
    </row>
    <row r="314" spans="1:22" x14ac:dyDescent="0.3">
      <c r="A314">
        <v>6</v>
      </c>
      <c r="B314">
        <v>1</v>
      </c>
      <c r="C314">
        <v>207855</v>
      </c>
      <c r="D314" t="s">
        <v>22</v>
      </c>
      <c r="E314" s="10">
        <v>44094</v>
      </c>
      <c r="F314" t="s">
        <v>23</v>
      </c>
      <c r="G314" s="3" t="s">
        <v>28</v>
      </c>
      <c r="H314" t="s">
        <v>41</v>
      </c>
      <c r="S314">
        <v>2</v>
      </c>
      <c r="T314" s="13">
        <f t="shared" si="7"/>
        <v>2</v>
      </c>
      <c r="U314" t="s">
        <v>144</v>
      </c>
    </row>
    <row r="315" spans="1:22" x14ac:dyDescent="0.3">
      <c r="A315">
        <v>6</v>
      </c>
      <c r="B315">
        <v>1</v>
      </c>
      <c r="C315">
        <v>207855</v>
      </c>
      <c r="D315" t="s">
        <v>22</v>
      </c>
      <c r="E315" s="10">
        <v>44094</v>
      </c>
      <c r="F315" t="s">
        <v>23</v>
      </c>
      <c r="G315" s="3" t="s">
        <v>28</v>
      </c>
      <c r="H315" t="s">
        <v>163</v>
      </c>
      <c r="S315">
        <v>1</v>
      </c>
      <c r="T315" s="13">
        <f t="shared" si="7"/>
        <v>1</v>
      </c>
      <c r="U315" t="s">
        <v>144</v>
      </c>
      <c r="V315" s="15" t="s">
        <v>222</v>
      </c>
    </row>
    <row r="316" spans="1:22" x14ac:dyDescent="0.3">
      <c r="A316">
        <v>6</v>
      </c>
      <c r="B316">
        <v>1</v>
      </c>
      <c r="C316">
        <v>207855</v>
      </c>
      <c r="D316" t="s">
        <v>22</v>
      </c>
      <c r="E316" s="10">
        <v>44094</v>
      </c>
      <c r="F316" t="s">
        <v>23</v>
      </c>
      <c r="G316" s="3" t="s">
        <v>28</v>
      </c>
      <c r="H316" t="s">
        <v>46</v>
      </c>
      <c r="Q316">
        <v>12</v>
      </c>
      <c r="T316" s="13">
        <f t="shared" si="7"/>
        <v>12</v>
      </c>
      <c r="U316" t="s">
        <v>144</v>
      </c>
    </row>
    <row r="317" spans="1:22" x14ac:dyDescent="0.3">
      <c r="A317">
        <v>6</v>
      </c>
      <c r="B317">
        <v>1</v>
      </c>
      <c r="C317">
        <v>207855</v>
      </c>
      <c r="D317" t="s">
        <v>22</v>
      </c>
      <c r="E317" s="10">
        <v>44094</v>
      </c>
      <c r="F317" t="s">
        <v>23</v>
      </c>
      <c r="G317" s="3" t="s">
        <v>28</v>
      </c>
      <c r="H317" t="s">
        <v>45</v>
      </c>
      <c r="K317">
        <v>3</v>
      </c>
      <c r="T317" s="13">
        <f t="shared" si="7"/>
        <v>3</v>
      </c>
      <c r="U317" t="s">
        <v>144</v>
      </c>
    </row>
    <row r="318" spans="1:22" s="5" customFormat="1" ht="16.2" thickBot="1" x14ac:dyDescent="0.35">
      <c r="A318" s="5">
        <v>6</v>
      </c>
      <c r="B318" s="5">
        <v>1</v>
      </c>
      <c r="C318" s="5">
        <v>207855</v>
      </c>
      <c r="D318" s="5" t="s">
        <v>22</v>
      </c>
      <c r="E318" s="11">
        <v>44094</v>
      </c>
      <c r="F318" s="5" t="s">
        <v>23</v>
      </c>
      <c r="G318" s="6" t="s">
        <v>28</v>
      </c>
      <c r="H318" s="5" t="s">
        <v>43</v>
      </c>
      <c r="Q318" s="5">
        <v>6</v>
      </c>
      <c r="T318" s="12">
        <f t="shared" si="7"/>
        <v>6</v>
      </c>
      <c r="U318" s="5" t="s">
        <v>144</v>
      </c>
      <c r="V318" s="14"/>
    </row>
    <row r="319" spans="1:22" ht="31.2" x14ac:dyDescent="0.3">
      <c r="A319">
        <v>6</v>
      </c>
      <c r="B319">
        <v>2</v>
      </c>
      <c r="C319">
        <v>207856</v>
      </c>
      <c r="D319" t="s">
        <v>22</v>
      </c>
      <c r="E319" s="10">
        <v>44094</v>
      </c>
      <c r="F319" t="s">
        <v>23</v>
      </c>
      <c r="G319" s="3" t="s">
        <v>68</v>
      </c>
      <c r="H319" t="s">
        <v>25</v>
      </c>
      <c r="M319">
        <v>14</v>
      </c>
      <c r="N319">
        <v>5</v>
      </c>
      <c r="O319">
        <v>8</v>
      </c>
      <c r="P319">
        <v>13</v>
      </c>
      <c r="Q319">
        <v>3</v>
      </c>
      <c r="T319" s="13">
        <f t="shared" si="7"/>
        <v>43</v>
      </c>
      <c r="U319" t="s">
        <v>144</v>
      </c>
      <c r="V319" s="15" t="s">
        <v>224</v>
      </c>
    </row>
    <row r="320" spans="1:22" x14ac:dyDescent="0.3">
      <c r="A320">
        <v>6</v>
      </c>
      <c r="B320">
        <v>2</v>
      </c>
      <c r="C320">
        <v>207856</v>
      </c>
      <c r="D320" t="s">
        <v>22</v>
      </c>
      <c r="E320" s="10">
        <v>44094</v>
      </c>
      <c r="F320" t="s">
        <v>23</v>
      </c>
      <c r="G320" s="3" t="s">
        <v>68</v>
      </c>
      <c r="H320" t="s">
        <v>69</v>
      </c>
      <c r="I320">
        <v>2</v>
      </c>
      <c r="T320" s="13">
        <f t="shared" si="7"/>
        <v>2</v>
      </c>
      <c r="U320" t="s">
        <v>144</v>
      </c>
    </row>
    <row r="321" spans="1:22" x14ac:dyDescent="0.3">
      <c r="A321">
        <v>6</v>
      </c>
      <c r="B321">
        <v>2</v>
      </c>
      <c r="C321">
        <v>207856</v>
      </c>
      <c r="D321" t="s">
        <v>22</v>
      </c>
      <c r="E321" s="10">
        <v>44094</v>
      </c>
      <c r="F321" t="s">
        <v>23</v>
      </c>
      <c r="G321" s="3" t="s">
        <v>28</v>
      </c>
      <c r="H321" t="s">
        <v>33</v>
      </c>
      <c r="P321">
        <v>1</v>
      </c>
      <c r="Q321">
        <v>3</v>
      </c>
      <c r="R321">
        <v>11</v>
      </c>
      <c r="T321" s="13">
        <f t="shared" si="7"/>
        <v>15</v>
      </c>
      <c r="U321" t="s">
        <v>144</v>
      </c>
    </row>
    <row r="322" spans="1:22" x14ac:dyDescent="0.3">
      <c r="A322">
        <v>6</v>
      </c>
      <c r="B322">
        <v>2</v>
      </c>
      <c r="C322">
        <v>207856</v>
      </c>
      <c r="D322" t="s">
        <v>22</v>
      </c>
      <c r="E322" s="10">
        <v>44094</v>
      </c>
      <c r="F322" t="s">
        <v>23</v>
      </c>
      <c r="G322" s="3" t="s">
        <v>28</v>
      </c>
      <c r="H322" t="s">
        <v>30</v>
      </c>
      <c r="I322">
        <v>7</v>
      </c>
      <c r="J322">
        <v>6</v>
      </c>
      <c r="T322" s="13">
        <f t="shared" si="7"/>
        <v>13</v>
      </c>
      <c r="U322" t="s">
        <v>144</v>
      </c>
    </row>
    <row r="323" spans="1:22" x14ac:dyDescent="0.3">
      <c r="A323">
        <v>6</v>
      </c>
      <c r="B323">
        <v>2</v>
      </c>
      <c r="C323">
        <v>207856</v>
      </c>
      <c r="D323" t="s">
        <v>22</v>
      </c>
      <c r="E323" s="10">
        <v>44094</v>
      </c>
      <c r="F323" t="s">
        <v>23</v>
      </c>
      <c r="G323" s="3" t="s">
        <v>28</v>
      </c>
      <c r="H323" t="s">
        <v>66</v>
      </c>
      <c r="N323">
        <v>1</v>
      </c>
      <c r="T323" s="13">
        <f t="shared" si="7"/>
        <v>1</v>
      </c>
      <c r="U323" t="s">
        <v>144</v>
      </c>
    </row>
    <row r="324" spans="1:22" x14ac:dyDescent="0.3">
      <c r="A324">
        <v>6</v>
      </c>
      <c r="B324">
        <v>2</v>
      </c>
      <c r="C324">
        <v>207856</v>
      </c>
      <c r="D324" t="s">
        <v>22</v>
      </c>
      <c r="E324" s="10">
        <v>44094</v>
      </c>
      <c r="F324" t="s">
        <v>23</v>
      </c>
      <c r="G324" s="3" t="s">
        <v>28</v>
      </c>
      <c r="H324" t="s">
        <v>31</v>
      </c>
      <c r="O324">
        <v>1</v>
      </c>
      <c r="P324">
        <v>11</v>
      </c>
      <c r="Q324">
        <v>11</v>
      </c>
      <c r="R324">
        <v>2</v>
      </c>
      <c r="T324" s="13">
        <f t="shared" si="7"/>
        <v>25</v>
      </c>
      <c r="U324" t="s">
        <v>144</v>
      </c>
    </row>
    <row r="325" spans="1:22" x14ac:dyDescent="0.3">
      <c r="A325">
        <v>6</v>
      </c>
      <c r="B325">
        <v>2</v>
      </c>
      <c r="C325">
        <v>207856</v>
      </c>
      <c r="D325" t="s">
        <v>22</v>
      </c>
      <c r="E325" s="10">
        <v>44094</v>
      </c>
      <c r="F325" t="s">
        <v>23</v>
      </c>
      <c r="G325" s="3" t="s">
        <v>28</v>
      </c>
      <c r="H325" t="s">
        <v>37</v>
      </c>
      <c r="O325">
        <v>4</v>
      </c>
      <c r="P325">
        <v>3</v>
      </c>
      <c r="Q325">
        <v>26</v>
      </c>
      <c r="R325">
        <v>9</v>
      </c>
      <c r="T325" s="13">
        <f t="shared" si="7"/>
        <v>42</v>
      </c>
      <c r="U325" t="s">
        <v>144</v>
      </c>
    </row>
    <row r="326" spans="1:22" x14ac:dyDescent="0.3">
      <c r="A326">
        <v>6</v>
      </c>
      <c r="B326">
        <v>2</v>
      </c>
      <c r="C326">
        <v>207856</v>
      </c>
      <c r="D326" t="s">
        <v>22</v>
      </c>
      <c r="E326" s="10">
        <v>44094</v>
      </c>
      <c r="F326" t="s">
        <v>23</v>
      </c>
      <c r="G326" s="3" t="s">
        <v>28</v>
      </c>
      <c r="H326" t="s">
        <v>32</v>
      </c>
      <c r="O326">
        <v>1</v>
      </c>
      <c r="T326" s="13">
        <f t="shared" si="7"/>
        <v>1</v>
      </c>
      <c r="U326" t="s">
        <v>144</v>
      </c>
    </row>
    <row r="327" spans="1:22" x14ac:dyDescent="0.3">
      <c r="A327">
        <v>6</v>
      </c>
      <c r="B327">
        <v>2</v>
      </c>
      <c r="C327">
        <v>207856</v>
      </c>
      <c r="D327" t="s">
        <v>22</v>
      </c>
      <c r="E327" s="10">
        <v>44094</v>
      </c>
      <c r="F327" t="s">
        <v>23</v>
      </c>
      <c r="G327" s="3" t="s">
        <v>28</v>
      </c>
      <c r="H327" t="s">
        <v>38</v>
      </c>
      <c r="P327">
        <v>21</v>
      </c>
      <c r="Q327">
        <v>35</v>
      </c>
      <c r="R327">
        <v>38</v>
      </c>
      <c r="T327" s="13">
        <f t="shared" si="7"/>
        <v>94</v>
      </c>
      <c r="U327" t="s">
        <v>144</v>
      </c>
    </row>
    <row r="328" spans="1:22" x14ac:dyDescent="0.3">
      <c r="A328">
        <v>6</v>
      </c>
      <c r="B328">
        <v>2</v>
      </c>
      <c r="C328">
        <v>207856</v>
      </c>
      <c r="D328" t="s">
        <v>22</v>
      </c>
      <c r="E328" s="10">
        <v>44094</v>
      </c>
      <c r="F328" t="s">
        <v>23</v>
      </c>
      <c r="G328" s="3" t="s">
        <v>28</v>
      </c>
      <c r="H328" t="s">
        <v>43</v>
      </c>
      <c r="Q328">
        <v>4</v>
      </c>
      <c r="T328" s="13">
        <f t="shared" si="7"/>
        <v>4</v>
      </c>
      <c r="U328" t="s">
        <v>144</v>
      </c>
    </row>
    <row r="329" spans="1:22" x14ac:dyDescent="0.3">
      <c r="A329">
        <v>6</v>
      </c>
      <c r="B329">
        <v>2</v>
      </c>
      <c r="C329">
        <v>207856</v>
      </c>
      <c r="D329" t="s">
        <v>22</v>
      </c>
      <c r="E329" s="10">
        <v>44094</v>
      </c>
      <c r="F329" t="s">
        <v>23</v>
      </c>
      <c r="G329" s="3" t="s">
        <v>28</v>
      </c>
      <c r="H329" t="s">
        <v>46</v>
      </c>
      <c r="Q329">
        <v>5</v>
      </c>
      <c r="T329" s="13">
        <f t="shared" si="7"/>
        <v>5</v>
      </c>
      <c r="U329" t="s">
        <v>144</v>
      </c>
    </row>
    <row r="330" spans="1:22" x14ac:dyDescent="0.3">
      <c r="A330">
        <v>6</v>
      </c>
      <c r="B330">
        <v>2</v>
      </c>
      <c r="C330">
        <v>207856</v>
      </c>
      <c r="D330" t="s">
        <v>22</v>
      </c>
      <c r="E330" s="10">
        <v>44094</v>
      </c>
      <c r="F330" t="s">
        <v>23</v>
      </c>
      <c r="G330" s="3" t="s">
        <v>28</v>
      </c>
      <c r="H330" t="s">
        <v>41</v>
      </c>
      <c r="S330">
        <v>3</v>
      </c>
      <c r="T330" s="13">
        <f t="shared" si="7"/>
        <v>3</v>
      </c>
      <c r="U330" t="s">
        <v>144</v>
      </c>
    </row>
    <row r="331" spans="1:22" x14ac:dyDescent="0.3">
      <c r="A331">
        <v>6</v>
      </c>
      <c r="B331">
        <v>2</v>
      </c>
      <c r="C331">
        <v>207856</v>
      </c>
      <c r="D331" t="s">
        <v>22</v>
      </c>
      <c r="E331" s="10">
        <v>44094</v>
      </c>
      <c r="F331" t="s">
        <v>23</v>
      </c>
      <c r="G331" s="3" t="s">
        <v>28</v>
      </c>
      <c r="H331" t="s">
        <v>223</v>
      </c>
      <c r="S331">
        <v>1</v>
      </c>
      <c r="T331" s="13">
        <f t="shared" si="7"/>
        <v>1</v>
      </c>
      <c r="U331" t="s">
        <v>144</v>
      </c>
    </row>
    <row r="332" spans="1:22" s="5" customFormat="1" ht="16.2" thickBot="1" x14ac:dyDescent="0.35">
      <c r="A332" s="5">
        <v>6</v>
      </c>
      <c r="B332" s="5">
        <v>2</v>
      </c>
      <c r="C332" s="5">
        <v>207856</v>
      </c>
      <c r="D332" s="5" t="s">
        <v>22</v>
      </c>
      <c r="E332" s="11">
        <v>44094</v>
      </c>
      <c r="F332" s="5" t="s">
        <v>23</v>
      </c>
      <c r="G332" s="6" t="s">
        <v>28</v>
      </c>
      <c r="H332" s="5" t="s">
        <v>55</v>
      </c>
      <c r="S332" s="5">
        <v>2</v>
      </c>
      <c r="T332" s="12">
        <f t="shared" si="7"/>
        <v>2</v>
      </c>
      <c r="U332" s="5" t="s">
        <v>144</v>
      </c>
      <c r="V332" s="14"/>
    </row>
    <row r="333" spans="1:22" ht="31.2" x14ac:dyDescent="0.3">
      <c r="A333">
        <v>6</v>
      </c>
      <c r="B333">
        <v>3</v>
      </c>
      <c r="C333">
        <v>207857</v>
      </c>
      <c r="D333" t="s">
        <v>22</v>
      </c>
      <c r="E333" s="10">
        <v>44094</v>
      </c>
      <c r="F333" t="s">
        <v>23</v>
      </c>
      <c r="G333" s="3" t="s">
        <v>28</v>
      </c>
      <c r="H333" t="s">
        <v>25</v>
      </c>
      <c r="L333">
        <v>1</v>
      </c>
      <c r="M333">
        <v>3</v>
      </c>
      <c r="N333">
        <v>2</v>
      </c>
      <c r="T333" s="13">
        <f t="shared" si="7"/>
        <v>6</v>
      </c>
      <c r="U333" t="s">
        <v>144</v>
      </c>
      <c r="V333" s="15" t="s">
        <v>225</v>
      </c>
    </row>
    <row r="334" spans="1:22" x14ac:dyDescent="0.3">
      <c r="A334">
        <v>6</v>
      </c>
      <c r="B334">
        <v>3</v>
      </c>
      <c r="C334">
        <v>207857</v>
      </c>
      <c r="D334" t="s">
        <v>22</v>
      </c>
      <c r="E334" s="10">
        <v>44094</v>
      </c>
      <c r="F334" t="s">
        <v>23</v>
      </c>
      <c r="G334" s="3" t="s">
        <v>73</v>
      </c>
      <c r="H334" t="s">
        <v>44</v>
      </c>
      <c r="P334">
        <v>1</v>
      </c>
      <c r="T334" s="13">
        <f t="shared" si="7"/>
        <v>1</v>
      </c>
      <c r="U334" t="s">
        <v>144</v>
      </c>
    </row>
    <row r="335" spans="1:22" x14ac:dyDescent="0.3">
      <c r="A335">
        <v>6</v>
      </c>
      <c r="B335">
        <v>3</v>
      </c>
      <c r="C335">
        <v>207857</v>
      </c>
      <c r="D335" t="s">
        <v>22</v>
      </c>
      <c r="E335" s="10">
        <v>44094</v>
      </c>
      <c r="F335" t="s">
        <v>23</v>
      </c>
      <c r="G335" s="3" t="s">
        <v>73</v>
      </c>
      <c r="H335" t="s">
        <v>71</v>
      </c>
      <c r="Q335">
        <v>1</v>
      </c>
      <c r="T335" s="13">
        <f t="shared" si="7"/>
        <v>1</v>
      </c>
      <c r="U335" t="s">
        <v>144</v>
      </c>
    </row>
    <row r="336" spans="1:22" x14ac:dyDescent="0.3">
      <c r="A336">
        <v>6</v>
      </c>
      <c r="B336">
        <v>3</v>
      </c>
      <c r="C336">
        <v>207857</v>
      </c>
      <c r="D336" t="s">
        <v>22</v>
      </c>
      <c r="E336" s="10">
        <v>44094</v>
      </c>
      <c r="F336" t="s">
        <v>23</v>
      </c>
      <c r="G336" s="3" t="s">
        <v>73</v>
      </c>
      <c r="H336" t="s">
        <v>33</v>
      </c>
      <c r="O336">
        <v>2</v>
      </c>
      <c r="P336">
        <v>3</v>
      </c>
      <c r="Q336">
        <v>11</v>
      </c>
      <c r="R336">
        <v>12</v>
      </c>
      <c r="T336" s="13">
        <f t="shared" si="7"/>
        <v>28</v>
      </c>
      <c r="U336" t="s">
        <v>144</v>
      </c>
    </row>
    <row r="337" spans="1:22" x14ac:dyDescent="0.3">
      <c r="A337">
        <v>6</v>
      </c>
      <c r="B337">
        <v>3</v>
      </c>
      <c r="C337">
        <v>207857</v>
      </c>
      <c r="D337" t="s">
        <v>22</v>
      </c>
      <c r="E337" s="10">
        <v>44094</v>
      </c>
      <c r="F337" t="s">
        <v>23</v>
      </c>
      <c r="G337" s="3" t="s">
        <v>73</v>
      </c>
      <c r="H337" t="s">
        <v>150</v>
      </c>
      <c r="Q337">
        <v>1</v>
      </c>
      <c r="T337" s="13">
        <f t="shared" si="7"/>
        <v>1</v>
      </c>
      <c r="U337" t="s">
        <v>144</v>
      </c>
    </row>
    <row r="338" spans="1:22" x14ac:dyDescent="0.3">
      <c r="A338">
        <v>6</v>
      </c>
      <c r="B338">
        <v>3</v>
      </c>
      <c r="C338">
        <v>207857</v>
      </c>
      <c r="D338" t="s">
        <v>22</v>
      </c>
      <c r="E338" s="10">
        <v>44094</v>
      </c>
      <c r="F338" t="s">
        <v>23</v>
      </c>
      <c r="G338" s="3" t="s">
        <v>73</v>
      </c>
      <c r="H338" t="s">
        <v>30</v>
      </c>
      <c r="I338">
        <v>8</v>
      </c>
      <c r="J338">
        <v>14</v>
      </c>
      <c r="T338" s="13">
        <f t="shared" si="7"/>
        <v>22</v>
      </c>
      <c r="U338" t="s">
        <v>144</v>
      </c>
    </row>
    <row r="339" spans="1:22" x14ac:dyDescent="0.3">
      <c r="A339">
        <v>6</v>
      </c>
      <c r="B339">
        <v>3</v>
      </c>
      <c r="C339">
        <v>207857</v>
      </c>
      <c r="D339" t="s">
        <v>22</v>
      </c>
      <c r="E339" s="10">
        <v>44094</v>
      </c>
      <c r="F339" t="s">
        <v>23</v>
      </c>
      <c r="G339" s="3" t="s">
        <v>73</v>
      </c>
      <c r="H339" t="s">
        <v>66</v>
      </c>
      <c r="N339">
        <v>1</v>
      </c>
      <c r="T339" s="13">
        <f t="shared" si="7"/>
        <v>1</v>
      </c>
      <c r="U339" t="s">
        <v>144</v>
      </c>
    </row>
    <row r="340" spans="1:22" x14ac:dyDescent="0.3">
      <c r="A340">
        <v>6</v>
      </c>
      <c r="B340">
        <v>3</v>
      </c>
      <c r="C340">
        <v>207857</v>
      </c>
      <c r="D340" t="s">
        <v>22</v>
      </c>
      <c r="E340" s="10">
        <v>44094</v>
      </c>
      <c r="F340" t="s">
        <v>23</v>
      </c>
      <c r="G340" s="3" t="s">
        <v>73</v>
      </c>
      <c r="H340" t="s">
        <v>31</v>
      </c>
      <c r="O340">
        <v>6</v>
      </c>
      <c r="P340">
        <v>5</v>
      </c>
      <c r="Q340">
        <v>7</v>
      </c>
      <c r="R340">
        <v>6</v>
      </c>
      <c r="T340" s="13">
        <f t="shared" si="7"/>
        <v>24</v>
      </c>
      <c r="U340" t="s">
        <v>144</v>
      </c>
    </row>
    <row r="341" spans="1:22" x14ac:dyDescent="0.3">
      <c r="A341">
        <v>6</v>
      </c>
      <c r="B341">
        <v>3</v>
      </c>
      <c r="C341">
        <v>207857</v>
      </c>
      <c r="D341" t="s">
        <v>22</v>
      </c>
      <c r="E341" s="10">
        <v>44094</v>
      </c>
      <c r="F341" t="s">
        <v>23</v>
      </c>
      <c r="G341" s="3" t="s">
        <v>73</v>
      </c>
      <c r="H341" t="s">
        <v>37</v>
      </c>
      <c r="O341">
        <v>4</v>
      </c>
      <c r="P341">
        <v>9</v>
      </c>
      <c r="Q341">
        <v>19</v>
      </c>
      <c r="R341">
        <v>8</v>
      </c>
      <c r="T341" s="13">
        <f t="shared" si="7"/>
        <v>40</v>
      </c>
      <c r="U341" t="s">
        <v>144</v>
      </c>
    </row>
    <row r="342" spans="1:22" x14ac:dyDescent="0.3">
      <c r="A342">
        <v>6</v>
      </c>
      <c r="B342">
        <v>3</v>
      </c>
      <c r="C342">
        <v>207857</v>
      </c>
      <c r="D342" t="s">
        <v>22</v>
      </c>
      <c r="E342" s="10">
        <v>44094</v>
      </c>
      <c r="F342" t="s">
        <v>23</v>
      </c>
      <c r="G342" s="3" t="s">
        <v>73</v>
      </c>
      <c r="H342" t="s">
        <v>32</v>
      </c>
      <c r="O342">
        <v>2</v>
      </c>
      <c r="T342" s="13">
        <f t="shared" si="7"/>
        <v>2</v>
      </c>
      <c r="U342" t="s">
        <v>144</v>
      </c>
    </row>
    <row r="343" spans="1:22" x14ac:dyDescent="0.3">
      <c r="A343">
        <v>6</v>
      </c>
      <c r="B343">
        <v>3</v>
      </c>
      <c r="C343">
        <v>207857</v>
      </c>
      <c r="D343" t="s">
        <v>22</v>
      </c>
      <c r="E343" s="10">
        <v>44094</v>
      </c>
      <c r="F343" t="s">
        <v>23</v>
      </c>
      <c r="G343" s="3" t="s">
        <v>73</v>
      </c>
      <c r="H343" t="s">
        <v>38</v>
      </c>
      <c r="P343">
        <v>19</v>
      </c>
      <c r="Q343">
        <v>17</v>
      </c>
      <c r="R343">
        <v>23</v>
      </c>
      <c r="T343" s="13">
        <f t="shared" si="7"/>
        <v>59</v>
      </c>
      <c r="U343" t="s">
        <v>144</v>
      </c>
    </row>
    <row r="344" spans="1:22" x14ac:dyDescent="0.3">
      <c r="A344">
        <v>6</v>
      </c>
      <c r="B344">
        <v>3</v>
      </c>
      <c r="C344">
        <v>207857</v>
      </c>
      <c r="D344" t="s">
        <v>22</v>
      </c>
      <c r="E344" s="10">
        <v>44094</v>
      </c>
      <c r="F344" t="s">
        <v>23</v>
      </c>
      <c r="G344" s="3" t="s">
        <v>73</v>
      </c>
      <c r="H344" t="s">
        <v>39</v>
      </c>
      <c r="Q344">
        <v>1</v>
      </c>
      <c r="R344">
        <v>1</v>
      </c>
      <c r="T344" s="13">
        <f t="shared" si="7"/>
        <v>2</v>
      </c>
      <c r="U344" t="s">
        <v>144</v>
      </c>
    </row>
    <row r="345" spans="1:22" x14ac:dyDescent="0.3">
      <c r="A345">
        <v>6</v>
      </c>
      <c r="B345">
        <v>3</v>
      </c>
      <c r="C345">
        <v>207857</v>
      </c>
      <c r="D345" t="s">
        <v>22</v>
      </c>
      <c r="E345" s="10">
        <v>44094</v>
      </c>
      <c r="F345" t="s">
        <v>23</v>
      </c>
      <c r="G345" s="3" t="s">
        <v>73</v>
      </c>
      <c r="H345" t="s">
        <v>55</v>
      </c>
      <c r="S345">
        <v>7</v>
      </c>
      <c r="T345" s="13">
        <f t="shared" si="7"/>
        <v>7</v>
      </c>
      <c r="U345" t="s">
        <v>144</v>
      </c>
    </row>
    <row r="346" spans="1:22" x14ac:dyDescent="0.3">
      <c r="A346">
        <v>6</v>
      </c>
      <c r="B346">
        <v>3</v>
      </c>
      <c r="C346">
        <v>207857</v>
      </c>
      <c r="D346" t="s">
        <v>22</v>
      </c>
      <c r="E346" s="10">
        <v>44094</v>
      </c>
      <c r="F346" t="s">
        <v>23</v>
      </c>
      <c r="G346" s="3" t="s">
        <v>73</v>
      </c>
      <c r="H346" t="s">
        <v>41</v>
      </c>
      <c r="S346">
        <v>1</v>
      </c>
      <c r="T346" s="13">
        <f t="shared" si="7"/>
        <v>1</v>
      </c>
      <c r="U346" t="s">
        <v>144</v>
      </c>
    </row>
    <row r="347" spans="1:22" x14ac:dyDescent="0.3">
      <c r="A347">
        <v>6</v>
      </c>
      <c r="B347">
        <v>3</v>
      </c>
      <c r="C347">
        <v>207857</v>
      </c>
      <c r="D347" t="s">
        <v>22</v>
      </c>
      <c r="E347" s="10">
        <v>44094</v>
      </c>
      <c r="F347" t="s">
        <v>23</v>
      </c>
      <c r="G347" s="3" t="s">
        <v>73</v>
      </c>
      <c r="H347" t="s">
        <v>56</v>
      </c>
      <c r="S347">
        <v>1</v>
      </c>
      <c r="T347" s="13">
        <f t="shared" si="7"/>
        <v>1</v>
      </c>
      <c r="U347" t="s">
        <v>144</v>
      </c>
    </row>
    <row r="348" spans="1:22" x14ac:dyDescent="0.3">
      <c r="A348">
        <v>6</v>
      </c>
      <c r="B348">
        <v>3</v>
      </c>
      <c r="C348">
        <v>207857</v>
      </c>
      <c r="D348" t="s">
        <v>22</v>
      </c>
      <c r="E348" s="10">
        <v>44094</v>
      </c>
      <c r="F348" t="s">
        <v>23</v>
      </c>
      <c r="G348" s="3" t="s">
        <v>73</v>
      </c>
      <c r="H348" t="s">
        <v>51</v>
      </c>
      <c r="S348">
        <v>1</v>
      </c>
      <c r="T348" s="13">
        <f t="shared" si="7"/>
        <v>1</v>
      </c>
      <c r="U348" t="s">
        <v>144</v>
      </c>
    </row>
    <row r="349" spans="1:22" x14ac:dyDescent="0.3">
      <c r="A349">
        <v>6</v>
      </c>
      <c r="B349">
        <v>3</v>
      </c>
      <c r="C349">
        <v>207857</v>
      </c>
      <c r="D349" t="s">
        <v>22</v>
      </c>
      <c r="E349" s="10">
        <v>44094</v>
      </c>
      <c r="F349" t="s">
        <v>23</v>
      </c>
      <c r="G349" s="3" t="s">
        <v>73</v>
      </c>
      <c r="H349" t="s">
        <v>163</v>
      </c>
      <c r="S349">
        <v>3</v>
      </c>
      <c r="T349" s="13">
        <f t="shared" si="7"/>
        <v>3</v>
      </c>
      <c r="U349" t="s">
        <v>144</v>
      </c>
    </row>
    <row r="350" spans="1:22" x14ac:dyDescent="0.3">
      <c r="A350">
        <v>6</v>
      </c>
      <c r="B350">
        <v>3</v>
      </c>
      <c r="C350">
        <v>207857</v>
      </c>
      <c r="D350" t="s">
        <v>22</v>
      </c>
      <c r="E350" s="10">
        <v>44094</v>
      </c>
      <c r="F350" t="s">
        <v>23</v>
      </c>
      <c r="G350" s="3" t="s">
        <v>73</v>
      </c>
      <c r="H350" t="s">
        <v>43</v>
      </c>
      <c r="K350">
        <v>1</v>
      </c>
      <c r="T350" s="13">
        <f t="shared" si="7"/>
        <v>1</v>
      </c>
      <c r="U350" t="s">
        <v>144</v>
      </c>
    </row>
    <row r="351" spans="1:22" x14ac:dyDescent="0.3">
      <c r="A351">
        <v>6</v>
      </c>
      <c r="B351">
        <v>3</v>
      </c>
      <c r="C351">
        <v>207857</v>
      </c>
      <c r="D351" t="s">
        <v>22</v>
      </c>
      <c r="E351" s="10">
        <v>44094</v>
      </c>
      <c r="F351" t="s">
        <v>23</v>
      </c>
      <c r="G351" s="3" t="s">
        <v>73</v>
      </c>
      <c r="H351" t="s">
        <v>46</v>
      </c>
      <c r="Q351">
        <v>20</v>
      </c>
      <c r="R351">
        <v>3</v>
      </c>
      <c r="T351" s="13">
        <f t="shared" si="7"/>
        <v>23</v>
      </c>
      <c r="U351" t="s">
        <v>144</v>
      </c>
    </row>
    <row r="352" spans="1:22" s="5" customFormat="1" ht="16.2" thickBot="1" x14ac:dyDescent="0.35">
      <c r="A352" s="5">
        <v>6</v>
      </c>
      <c r="B352" s="5">
        <v>3</v>
      </c>
      <c r="C352" s="5">
        <v>207857</v>
      </c>
      <c r="D352" s="5" t="s">
        <v>22</v>
      </c>
      <c r="E352" s="11">
        <v>44094</v>
      </c>
      <c r="F352" s="5" t="s">
        <v>23</v>
      </c>
      <c r="G352" s="6" t="s">
        <v>73</v>
      </c>
      <c r="H352" s="5" t="s">
        <v>45</v>
      </c>
      <c r="K352" s="5">
        <v>3</v>
      </c>
      <c r="T352" s="12">
        <f t="shared" si="7"/>
        <v>3</v>
      </c>
      <c r="U352" s="5" t="s">
        <v>144</v>
      </c>
      <c r="V352" s="14"/>
    </row>
    <row r="353" spans="1:22" ht="31.2" x14ac:dyDescent="0.3">
      <c r="A353">
        <v>6</v>
      </c>
      <c r="B353">
        <v>4</v>
      </c>
      <c r="C353">
        <v>207858</v>
      </c>
      <c r="D353" t="s">
        <v>22</v>
      </c>
      <c r="E353" s="10">
        <v>44094</v>
      </c>
      <c r="F353" t="s">
        <v>23</v>
      </c>
      <c r="G353" s="3" t="s">
        <v>149</v>
      </c>
      <c r="H353" t="s">
        <v>33</v>
      </c>
      <c r="N353">
        <v>4</v>
      </c>
      <c r="O353">
        <v>8</v>
      </c>
      <c r="P353">
        <v>5</v>
      </c>
      <c r="Q353">
        <v>11</v>
      </c>
      <c r="R353">
        <v>14</v>
      </c>
      <c r="T353" s="13">
        <f t="shared" si="7"/>
        <v>42</v>
      </c>
      <c r="U353" t="s">
        <v>144</v>
      </c>
      <c r="V353" s="15" t="s">
        <v>227</v>
      </c>
    </row>
    <row r="354" spans="1:22" x14ac:dyDescent="0.3">
      <c r="A354">
        <v>6</v>
      </c>
      <c r="B354">
        <v>4</v>
      </c>
      <c r="C354">
        <v>207858</v>
      </c>
      <c r="D354" t="s">
        <v>22</v>
      </c>
      <c r="E354" s="10">
        <v>44094</v>
      </c>
      <c r="F354" t="s">
        <v>23</v>
      </c>
      <c r="G354" s="3" t="s">
        <v>149</v>
      </c>
      <c r="H354" t="s">
        <v>71</v>
      </c>
      <c r="Q354">
        <v>1</v>
      </c>
      <c r="T354" s="13">
        <f t="shared" si="7"/>
        <v>1</v>
      </c>
      <c r="U354" t="s">
        <v>144</v>
      </c>
    </row>
    <row r="355" spans="1:22" x14ac:dyDescent="0.3">
      <c r="A355">
        <v>6</v>
      </c>
      <c r="B355">
        <v>4</v>
      </c>
      <c r="C355">
        <v>207858</v>
      </c>
      <c r="D355" t="s">
        <v>22</v>
      </c>
      <c r="E355" s="10">
        <v>44094</v>
      </c>
      <c r="F355" t="s">
        <v>23</v>
      </c>
      <c r="G355" s="3" t="s">
        <v>149</v>
      </c>
      <c r="H355" t="s">
        <v>44</v>
      </c>
      <c r="O355">
        <v>1</v>
      </c>
      <c r="P355">
        <v>3</v>
      </c>
      <c r="T355" s="13">
        <f t="shared" si="7"/>
        <v>4</v>
      </c>
      <c r="U355" t="s">
        <v>144</v>
      </c>
    </row>
    <row r="356" spans="1:22" x14ac:dyDescent="0.3">
      <c r="A356">
        <v>6</v>
      </c>
      <c r="B356">
        <v>4</v>
      </c>
      <c r="C356">
        <v>207858</v>
      </c>
      <c r="D356" t="s">
        <v>22</v>
      </c>
      <c r="E356" s="10">
        <v>44094</v>
      </c>
      <c r="F356" t="s">
        <v>23</v>
      </c>
      <c r="G356" s="3" t="s">
        <v>149</v>
      </c>
      <c r="H356" t="s">
        <v>150</v>
      </c>
      <c r="Q356">
        <v>1</v>
      </c>
      <c r="T356" s="13">
        <f t="shared" si="7"/>
        <v>1</v>
      </c>
      <c r="U356" t="s">
        <v>144</v>
      </c>
    </row>
    <row r="357" spans="1:22" x14ac:dyDescent="0.3">
      <c r="A357">
        <v>6</v>
      </c>
      <c r="B357">
        <v>4</v>
      </c>
      <c r="C357">
        <v>207858</v>
      </c>
      <c r="D357" t="s">
        <v>22</v>
      </c>
      <c r="E357" s="10">
        <v>44094</v>
      </c>
      <c r="F357" t="s">
        <v>23</v>
      </c>
      <c r="G357" s="3" t="s">
        <v>149</v>
      </c>
      <c r="H357" t="s">
        <v>30</v>
      </c>
      <c r="I357">
        <v>9</v>
      </c>
      <c r="J357">
        <v>23</v>
      </c>
      <c r="T357" s="13">
        <f t="shared" si="7"/>
        <v>32</v>
      </c>
      <c r="U357" t="s">
        <v>144</v>
      </c>
    </row>
    <row r="358" spans="1:22" x14ac:dyDescent="0.3">
      <c r="A358">
        <v>6</v>
      </c>
      <c r="B358">
        <v>4</v>
      </c>
      <c r="C358">
        <v>207858</v>
      </c>
      <c r="D358" t="s">
        <v>22</v>
      </c>
      <c r="E358" s="10">
        <v>44094</v>
      </c>
      <c r="F358" t="s">
        <v>23</v>
      </c>
      <c r="G358" s="3" t="s">
        <v>149</v>
      </c>
      <c r="H358" t="s">
        <v>192</v>
      </c>
      <c r="S358">
        <v>2</v>
      </c>
      <c r="T358" s="13">
        <f t="shared" si="7"/>
        <v>2</v>
      </c>
      <c r="U358" t="s">
        <v>144</v>
      </c>
    </row>
    <row r="359" spans="1:22" x14ac:dyDescent="0.3">
      <c r="A359">
        <v>6</v>
      </c>
      <c r="B359">
        <v>4</v>
      </c>
      <c r="C359">
        <v>207858</v>
      </c>
      <c r="D359" t="s">
        <v>22</v>
      </c>
      <c r="E359" s="10">
        <v>44094</v>
      </c>
      <c r="F359" t="s">
        <v>23</v>
      </c>
      <c r="G359" s="3" t="s">
        <v>149</v>
      </c>
      <c r="H359" t="s">
        <v>37</v>
      </c>
      <c r="O359">
        <v>10</v>
      </c>
      <c r="P359">
        <v>5</v>
      </c>
      <c r="Q359">
        <v>5</v>
      </c>
      <c r="R359">
        <v>1</v>
      </c>
      <c r="T359" s="13">
        <f t="shared" si="7"/>
        <v>21</v>
      </c>
      <c r="U359" t="s">
        <v>144</v>
      </c>
    </row>
    <row r="360" spans="1:22" x14ac:dyDescent="0.3">
      <c r="A360">
        <v>6</v>
      </c>
      <c r="B360">
        <v>4</v>
      </c>
      <c r="C360">
        <v>207858</v>
      </c>
      <c r="D360" t="s">
        <v>22</v>
      </c>
      <c r="E360" s="10">
        <v>44094</v>
      </c>
      <c r="F360" t="s">
        <v>23</v>
      </c>
      <c r="G360" s="3" t="s">
        <v>149</v>
      </c>
      <c r="H360" t="s">
        <v>38</v>
      </c>
      <c r="P360">
        <v>19</v>
      </c>
      <c r="Q360">
        <v>7</v>
      </c>
      <c r="R360">
        <v>6</v>
      </c>
      <c r="T360" s="13">
        <f t="shared" si="7"/>
        <v>32</v>
      </c>
      <c r="U360" t="s">
        <v>144</v>
      </c>
    </row>
    <row r="361" spans="1:22" x14ac:dyDescent="0.3">
      <c r="A361">
        <v>6</v>
      </c>
      <c r="B361">
        <v>4</v>
      </c>
      <c r="C361">
        <v>207858</v>
      </c>
      <c r="D361" t="s">
        <v>22</v>
      </c>
      <c r="E361" s="10">
        <v>44094</v>
      </c>
      <c r="F361" t="s">
        <v>23</v>
      </c>
      <c r="G361" s="3" t="s">
        <v>149</v>
      </c>
      <c r="H361" t="s">
        <v>31</v>
      </c>
      <c r="O361">
        <v>2</v>
      </c>
      <c r="P361">
        <v>1</v>
      </c>
      <c r="Q361">
        <v>3</v>
      </c>
      <c r="T361" s="13">
        <f t="shared" si="7"/>
        <v>6</v>
      </c>
      <c r="U361" t="s">
        <v>144</v>
      </c>
    </row>
    <row r="362" spans="1:22" x14ac:dyDescent="0.3">
      <c r="A362">
        <v>6</v>
      </c>
      <c r="B362">
        <v>4</v>
      </c>
      <c r="C362">
        <v>207858</v>
      </c>
      <c r="D362" t="s">
        <v>22</v>
      </c>
      <c r="E362" s="10">
        <v>44094</v>
      </c>
      <c r="F362" t="s">
        <v>23</v>
      </c>
      <c r="G362" s="3" t="s">
        <v>149</v>
      </c>
      <c r="H362" t="s">
        <v>32</v>
      </c>
      <c r="O362">
        <v>28</v>
      </c>
      <c r="T362" s="13">
        <f t="shared" si="7"/>
        <v>28</v>
      </c>
      <c r="U362" t="s">
        <v>144</v>
      </c>
    </row>
    <row r="363" spans="1:22" x14ac:dyDescent="0.3">
      <c r="A363">
        <v>6</v>
      </c>
      <c r="B363">
        <v>4</v>
      </c>
      <c r="C363">
        <v>207858</v>
      </c>
      <c r="D363" t="s">
        <v>22</v>
      </c>
      <c r="E363" s="10">
        <v>44094</v>
      </c>
      <c r="F363" t="s">
        <v>23</v>
      </c>
      <c r="G363" s="3" t="s">
        <v>149</v>
      </c>
      <c r="H363" t="s">
        <v>55</v>
      </c>
      <c r="S363">
        <v>5</v>
      </c>
      <c r="T363" s="13">
        <f t="shared" si="7"/>
        <v>5</v>
      </c>
      <c r="U363" t="s">
        <v>144</v>
      </c>
    </row>
    <row r="364" spans="1:22" x14ac:dyDescent="0.3">
      <c r="A364">
        <v>6</v>
      </c>
      <c r="B364">
        <v>4</v>
      </c>
      <c r="C364">
        <v>207858</v>
      </c>
      <c r="D364" t="s">
        <v>22</v>
      </c>
      <c r="E364" s="10">
        <v>44094</v>
      </c>
      <c r="F364" t="s">
        <v>23</v>
      </c>
      <c r="G364" s="3" t="s">
        <v>149</v>
      </c>
      <c r="H364" t="s">
        <v>51</v>
      </c>
      <c r="S364">
        <v>1</v>
      </c>
      <c r="T364" s="13">
        <f t="shared" si="7"/>
        <v>1</v>
      </c>
      <c r="U364" t="s">
        <v>144</v>
      </c>
    </row>
    <row r="365" spans="1:22" x14ac:dyDescent="0.3">
      <c r="A365">
        <v>6</v>
      </c>
      <c r="B365">
        <v>4</v>
      </c>
      <c r="C365">
        <v>207858</v>
      </c>
      <c r="D365" t="s">
        <v>22</v>
      </c>
      <c r="E365" s="10">
        <v>44094</v>
      </c>
      <c r="F365" t="s">
        <v>23</v>
      </c>
      <c r="G365" s="3" t="s">
        <v>149</v>
      </c>
      <c r="H365" t="s">
        <v>223</v>
      </c>
      <c r="S365">
        <v>2</v>
      </c>
      <c r="T365" s="13">
        <f t="shared" si="7"/>
        <v>2</v>
      </c>
      <c r="U365" t="s">
        <v>144</v>
      </c>
    </row>
    <row r="366" spans="1:22" x14ac:dyDescent="0.3">
      <c r="A366">
        <v>6</v>
      </c>
      <c r="B366">
        <v>4</v>
      </c>
      <c r="C366">
        <v>207858</v>
      </c>
      <c r="D366" t="s">
        <v>22</v>
      </c>
      <c r="E366" s="10">
        <v>44094</v>
      </c>
      <c r="F366" t="s">
        <v>23</v>
      </c>
      <c r="G366" s="3" t="s">
        <v>149</v>
      </c>
      <c r="H366" t="s">
        <v>163</v>
      </c>
      <c r="S366">
        <v>1</v>
      </c>
      <c r="T366" s="13">
        <f t="shared" si="7"/>
        <v>1</v>
      </c>
      <c r="U366" t="s">
        <v>144</v>
      </c>
      <c r="V366" s="15" t="s">
        <v>228</v>
      </c>
    </row>
    <row r="367" spans="1:22" x14ac:dyDescent="0.3">
      <c r="A367">
        <v>6</v>
      </c>
      <c r="B367">
        <v>4</v>
      </c>
      <c r="C367">
        <v>207858</v>
      </c>
      <c r="D367" t="s">
        <v>22</v>
      </c>
      <c r="E367" s="10">
        <v>44094</v>
      </c>
      <c r="F367" t="s">
        <v>23</v>
      </c>
      <c r="G367" s="3" t="s">
        <v>149</v>
      </c>
      <c r="H367" t="s">
        <v>278</v>
      </c>
      <c r="S367">
        <v>1</v>
      </c>
      <c r="T367" s="13">
        <f t="shared" si="7"/>
        <v>1</v>
      </c>
      <c r="U367" t="s">
        <v>144</v>
      </c>
    </row>
    <row r="368" spans="1:22" x14ac:dyDescent="0.3">
      <c r="A368">
        <v>6</v>
      </c>
      <c r="B368">
        <v>4</v>
      </c>
      <c r="C368">
        <v>207858</v>
      </c>
      <c r="D368" t="s">
        <v>22</v>
      </c>
      <c r="E368" s="10">
        <v>44094</v>
      </c>
      <c r="F368" t="s">
        <v>23</v>
      </c>
      <c r="G368" s="3" t="s">
        <v>149</v>
      </c>
      <c r="H368" t="s">
        <v>57</v>
      </c>
      <c r="S368">
        <v>2</v>
      </c>
      <c r="T368" s="13">
        <f t="shared" si="7"/>
        <v>2</v>
      </c>
      <c r="U368" t="s">
        <v>144</v>
      </c>
    </row>
    <row r="369" spans="1:22" x14ac:dyDescent="0.3">
      <c r="A369">
        <v>6</v>
      </c>
      <c r="B369">
        <v>4</v>
      </c>
      <c r="C369">
        <v>207858</v>
      </c>
      <c r="D369" t="s">
        <v>22</v>
      </c>
      <c r="E369" s="10">
        <v>44094</v>
      </c>
      <c r="F369" t="s">
        <v>23</v>
      </c>
      <c r="G369" s="3" t="s">
        <v>149</v>
      </c>
      <c r="H369" t="s">
        <v>41</v>
      </c>
      <c r="S369">
        <v>3</v>
      </c>
      <c r="T369" s="13">
        <f t="shared" si="7"/>
        <v>3</v>
      </c>
      <c r="U369" t="s">
        <v>144</v>
      </c>
    </row>
    <row r="370" spans="1:22" x14ac:dyDescent="0.3">
      <c r="A370">
        <v>6</v>
      </c>
      <c r="B370">
        <v>4</v>
      </c>
      <c r="C370">
        <v>207858</v>
      </c>
      <c r="D370" t="s">
        <v>22</v>
      </c>
      <c r="E370" s="10">
        <v>44094</v>
      </c>
      <c r="F370" t="s">
        <v>23</v>
      </c>
      <c r="G370" s="3" t="s">
        <v>149</v>
      </c>
      <c r="H370" t="s">
        <v>56</v>
      </c>
      <c r="S370">
        <v>11</v>
      </c>
      <c r="T370" s="13">
        <f t="shared" si="7"/>
        <v>11</v>
      </c>
      <c r="U370" t="s">
        <v>144</v>
      </c>
    </row>
    <row r="371" spans="1:22" x14ac:dyDescent="0.3">
      <c r="A371">
        <v>6</v>
      </c>
      <c r="B371">
        <v>4</v>
      </c>
      <c r="C371">
        <v>207858</v>
      </c>
      <c r="D371" t="s">
        <v>22</v>
      </c>
      <c r="E371" s="10">
        <v>44094</v>
      </c>
      <c r="F371" t="s">
        <v>23</v>
      </c>
      <c r="G371" s="3" t="s">
        <v>149</v>
      </c>
      <c r="H371" t="s">
        <v>45</v>
      </c>
      <c r="I371">
        <v>1</v>
      </c>
      <c r="K371">
        <v>2</v>
      </c>
      <c r="T371" s="13">
        <f t="shared" si="7"/>
        <v>3</v>
      </c>
      <c r="U371" t="s">
        <v>144</v>
      </c>
    </row>
    <row r="372" spans="1:22" s="5" customFormat="1" ht="16.2" thickBot="1" x14ac:dyDescent="0.35">
      <c r="A372" s="5">
        <v>6</v>
      </c>
      <c r="B372" s="5">
        <v>4</v>
      </c>
      <c r="C372" s="5">
        <v>207858</v>
      </c>
      <c r="D372" s="5" t="s">
        <v>22</v>
      </c>
      <c r="E372" s="11">
        <v>44094</v>
      </c>
      <c r="F372" s="5" t="s">
        <v>23</v>
      </c>
      <c r="G372" s="6" t="s">
        <v>149</v>
      </c>
      <c r="H372" s="5" t="s">
        <v>46</v>
      </c>
      <c r="Q372" s="5">
        <v>32</v>
      </c>
      <c r="R372" s="5">
        <v>2</v>
      </c>
      <c r="T372" s="12">
        <f t="shared" si="7"/>
        <v>34</v>
      </c>
      <c r="U372" s="5" t="s">
        <v>144</v>
      </c>
      <c r="V372" s="14"/>
    </row>
    <row r="373" spans="1:22" ht="31.2" x14ac:dyDescent="0.3">
      <c r="A373">
        <v>6</v>
      </c>
      <c r="B373">
        <v>5</v>
      </c>
      <c r="C373">
        <v>207859</v>
      </c>
      <c r="D373" t="s">
        <v>22</v>
      </c>
      <c r="E373" s="10">
        <v>44094</v>
      </c>
      <c r="F373" t="s">
        <v>23</v>
      </c>
      <c r="G373" s="3" t="s">
        <v>54</v>
      </c>
      <c r="H373" t="s">
        <v>25</v>
      </c>
      <c r="N373">
        <v>1</v>
      </c>
      <c r="T373" s="13">
        <f t="shared" si="7"/>
        <v>1</v>
      </c>
      <c r="U373" t="s">
        <v>144</v>
      </c>
      <c r="V373" s="15" t="s">
        <v>229</v>
      </c>
    </row>
    <row r="374" spans="1:22" x14ac:dyDescent="0.3">
      <c r="A374">
        <v>6</v>
      </c>
      <c r="B374">
        <v>5</v>
      </c>
      <c r="C374">
        <v>207859</v>
      </c>
      <c r="D374" t="s">
        <v>22</v>
      </c>
      <c r="E374" s="10">
        <v>44094</v>
      </c>
      <c r="F374" t="s">
        <v>23</v>
      </c>
      <c r="G374" s="3" t="s">
        <v>146</v>
      </c>
      <c r="H374" t="s">
        <v>71</v>
      </c>
      <c r="Q374">
        <v>3</v>
      </c>
      <c r="R374">
        <v>2</v>
      </c>
      <c r="T374" s="13">
        <f t="shared" si="7"/>
        <v>5</v>
      </c>
      <c r="U374" t="s">
        <v>144</v>
      </c>
    </row>
    <row r="375" spans="1:22" x14ac:dyDescent="0.3">
      <c r="A375">
        <v>6</v>
      </c>
      <c r="B375">
        <v>5</v>
      </c>
      <c r="C375">
        <v>207859</v>
      </c>
      <c r="D375" t="s">
        <v>22</v>
      </c>
      <c r="E375" s="10">
        <v>44094</v>
      </c>
      <c r="F375" t="s">
        <v>23</v>
      </c>
      <c r="G375" s="3" t="s">
        <v>146</v>
      </c>
      <c r="H375" t="s">
        <v>44</v>
      </c>
      <c r="N375">
        <v>7</v>
      </c>
      <c r="T375" s="13">
        <f t="shared" si="7"/>
        <v>7</v>
      </c>
      <c r="U375" t="s">
        <v>144</v>
      </c>
    </row>
    <row r="376" spans="1:22" x14ac:dyDescent="0.3">
      <c r="A376">
        <v>6</v>
      </c>
      <c r="B376">
        <v>5</v>
      </c>
      <c r="C376">
        <v>207859</v>
      </c>
      <c r="D376" t="s">
        <v>22</v>
      </c>
      <c r="E376" s="10">
        <v>44094</v>
      </c>
      <c r="F376" t="s">
        <v>23</v>
      </c>
      <c r="G376" s="3" t="s">
        <v>146</v>
      </c>
      <c r="H376" t="s">
        <v>150</v>
      </c>
      <c r="Q376">
        <v>1</v>
      </c>
      <c r="T376" s="13">
        <f t="shared" ref="T376:T439" si="8">SUM(I376:S376)</f>
        <v>1</v>
      </c>
      <c r="U376" t="s">
        <v>144</v>
      </c>
    </row>
    <row r="377" spans="1:22" x14ac:dyDescent="0.3">
      <c r="A377">
        <v>6</v>
      </c>
      <c r="B377">
        <v>5</v>
      </c>
      <c r="C377">
        <v>207859</v>
      </c>
      <c r="D377" t="s">
        <v>22</v>
      </c>
      <c r="E377" s="10">
        <v>44094</v>
      </c>
      <c r="F377" t="s">
        <v>23</v>
      </c>
      <c r="G377" s="3" t="s">
        <v>146</v>
      </c>
      <c r="H377" t="s">
        <v>33</v>
      </c>
      <c r="N377">
        <v>6</v>
      </c>
      <c r="O377">
        <v>8</v>
      </c>
      <c r="P377">
        <v>7</v>
      </c>
      <c r="Q377">
        <v>2</v>
      </c>
      <c r="R377">
        <v>5</v>
      </c>
      <c r="T377" s="13">
        <f t="shared" si="8"/>
        <v>28</v>
      </c>
      <c r="U377" t="s">
        <v>144</v>
      </c>
    </row>
    <row r="378" spans="1:22" x14ac:dyDescent="0.3">
      <c r="A378">
        <v>6</v>
      </c>
      <c r="B378">
        <v>5</v>
      </c>
      <c r="C378">
        <v>207859</v>
      </c>
      <c r="D378" t="s">
        <v>22</v>
      </c>
      <c r="E378" s="10">
        <v>44094</v>
      </c>
      <c r="F378" t="s">
        <v>23</v>
      </c>
      <c r="G378" s="3" t="s">
        <v>146</v>
      </c>
      <c r="H378" t="s">
        <v>30</v>
      </c>
      <c r="I378">
        <v>5</v>
      </c>
      <c r="J378">
        <v>14</v>
      </c>
      <c r="T378" s="13">
        <f t="shared" si="8"/>
        <v>19</v>
      </c>
      <c r="U378" t="s">
        <v>144</v>
      </c>
    </row>
    <row r="379" spans="1:22" x14ac:dyDescent="0.3">
      <c r="A379">
        <v>6</v>
      </c>
      <c r="B379">
        <v>5</v>
      </c>
      <c r="C379">
        <v>207859</v>
      </c>
      <c r="D379" t="s">
        <v>22</v>
      </c>
      <c r="E379" s="10">
        <v>44094</v>
      </c>
      <c r="F379" t="s">
        <v>23</v>
      </c>
      <c r="G379" s="3" t="s">
        <v>146</v>
      </c>
      <c r="H379" t="s">
        <v>37</v>
      </c>
      <c r="O379">
        <v>8</v>
      </c>
      <c r="P379">
        <v>4</v>
      </c>
      <c r="Q379">
        <v>3</v>
      </c>
      <c r="R379">
        <v>3</v>
      </c>
      <c r="T379" s="13">
        <f t="shared" si="8"/>
        <v>18</v>
      </c>
      <c r="U379" t="s">
        <v>144</v>
      </c>
    </row>
    <row r="380" spans="1:22" x14ac:dyDescent="0.3">
      <c r="A380">
        <v>6</v>
      </c>
      <c r="B380">
        <v>5</v>
      </c>
      <c r="C380">
        <v>207859</v>
      </c>
      <c r="D380" t="s">
        <v>22</v>
      </c>
      <c r="E380" s="10">
        <v>44094</v>
      </c>
      <c r="F380" t="s">
        <v>23</v>
      </c>
      <c r="G380" s="3" t="s">
        <v>146</v>
      </c>
      <c r="H380" t="s">
        <v>32</v>
      </c>
      <c r="O380">
        <v>19</v>
      </c>
      <c r="T380" s="13">
        <f t="shared" si="8"/>
        <v>19</v>
      </c>
      <c r="U380" t="s">
        <v>144</v>
      </c>
    </row>
    <row r="381" spans="1:22" x14ac:dyDescent="0.3">
      <c r="A381">
        <v>6</v>
      </c>
      <c r="B381">
        <v>5</v>
      </c>
      <c r="C381">
        <v>207859</v>
      </c>
      <c r="D381" t="s">
        <v>22</v>
      </c>
      <c r="E381" s="10">
        <v>44094</v>
      </c>
      <c r="F381" t="s">
        <v>23</v>
      </c>
      <c r="G381" s="3" t="s">
        <v>146</v>
      </c>
      <c r="H381" t="s">
        <v>31</v>
      </c>
      <c r="Q381">
        <v>1</v>
      </c>
      <c r="T381" s="13">
        <f t="shared" si="8"/>
        <v>1</v>
      </c>
      <c r="U381" t="s">
        <v>144</v>
      </c>
    </row>
    <row r="382" spans="1:22" x14ac:dyDescent="0.3">
      <c r="A382">
        <v>6</v>
      </c>
      <c r="B382">
        <v>5</v>
      </c>
      <c r="C382">
        <v>207859</v>
      </c>
      <c r="D382" t="s">
        <v>22</v>
      </c>
      <c r="E382" s="10">
        <v>44094</v>
      </c>
      <c r="F382" t="s">
        <v>23</v>
      </c>
      <c r="G382" s="3" t="s">
        <v>146</v>
      </c>
      <c r="H382" t="s">
        <v>38</v>
      </c>
      <c r="P382">
        <v>25</v>
      </c>
      <c r="Q382">
        <v>19</v>
      </c>
      <c r="R382">
        <v>21</v>
      </c>
      <c r="T382" s="13">
        <f t="shared" si="8"/>
        <v>65</v>
      </c>
      <c r="U382" t="s">
        <v>144</v>
      </c>
    </row>
    <row r="383" spans="1:22" x14ac:dyDescent="0.3">
      <c r="A383">
        <v>6</v>
      </c>
      <c r="B383">
        <v>5</v>
      </c>
      <c r="C383">
        <v>207859</v>
      </c>
      <c r="D383" t="s">
        <v>22</v>
      </c>
      <c r="E383" s="10">
        <v>44094</v>
      </c>
      <c r="F383" t="s">
        <v>23</v>
      </c>
      <c r="G383" s="3" t="s">
        <v>146</v>
      </c>
      <c r="H383" t="s">
        <v>64</v>
      </c>
      <c r="S383">
        <v>1</v>
      </c>
      <c r="T383" s="13">
        <f t="shared" si="8"/>
        <v>1</v>
      </c>
      <c r="U383" t="s">
        <v>144</v>
      </c>
    </row>
    <row r="384" spans="1:22" x14ac:dyDescent="0.3">
      <c r="A384">
        <v>6</v>
      </c>
      <c r="B384">
        <v>5</v>
      </c>
      <c r="C384">
        <v>207859</v>
      </c>
      <c r="D384" t="s">
        <v>22</v>
      </c>
      <c r="E384" s="10">
        <v>44094</v>
      </c>
      <c r="F384" t="s">
        <v>23</v>
      </c>
      <c r="G384" s="3" t="s">
        <v>146</v>
      </c>
      <c r="H384" t="s">
        <v>163</v>
      </c>
      <c r="S384">
        <v>2</v>
      </c>
      <c r="T384" s="13">
        <f t="shared" si="8"/>
        <v>2</v>
      </c>
      <c r="U384" t="s">
        <v>144</v>
      </c>
    </row>
    <row r="385" spans="1:22" x14ac:dyDescent="0.3">
      <c r="A385">
        <v>6</v>
      </c>
      <c r="B385">
        <v>5</v>
      </c>
      <c r="C385">
        <v>207859</v>
      </c>
      <c r="D385" t="s">
        <v>22</v>
      </c>
      <c r="E385" s="10">
        <v>44094</v>
      </c>
      <c r="F385" t="s">
        <v>23</v>
      </c>
      <c r="G385" s="3" t="s">
        <v>146</v>
      </c>
      <c r="H385" t="s">
        <v>56</v>
      </c>
      <c r="S385">
        <v>4</v>
      </c>
      <c r="T385" s="13">
        <f t="shared" si="8"/>
        <v>4</v>
      </c>
      <c r="U385" t="s">
        <v>144</v>
      </c>
    </row>
    <row r="386" spans="1:22" x14ac:dyDescent="0.3">
      <c r="A386">
        <v>6</v>
      </c>
      <c r="B386">
        <v>5</v>
      </c>
      <c r="C386">
        <v>207859</v>
      </c>
      <c r="D386" t="s">
        <v>22</v>
      </c>
      <c r="E386" s="10">
        <v>44094</v>
      </c>
      <c r="F386" t="s">
        <v>23</v>
      </c>
      <c r="G386" s="3" t="s">
        <v>146</v>
      </c>
      <c r="H386" t="s">
        <v>41</v>
      </c>
      <c r="S386">
        <v>2</v>
      </c>
      <c r="T386" s="13">
        <f t="shared" si="8"/>
        <v>2</v>
      </c>
      <c r="U386" t="s">
        <v>144</v>
      </c>
    </row>
    <row r="387" spans="1:22" x14ac:dyDescent="0.3">
      <c r="A387">
        <v>6</v>
      </c>
      <c r="B387">
        <v>5</v>
      </c>
      <c r="C387">
        <v>207859</v>
      </c>
      <c r="D387" t="s">
        <v>22</v>
      </c>
      <c r="E387" s="10">
        <v>44094</v>
      </c>
      <c r="F387" t="s">
        <v>23</v>
      </c>
      <c r="G387" s="3" t="s">
        <v>146</v>
      </c>
      <c r="H387" t="s">
        <v>51</v>
      </c>
      <c r="S387">
        <v>2</v>
      </c>
      <c r="T387" s="13">
        <f t="shared" si="8"/>
        <v>2</v>
      </c>
      <c r="U387" t="s">
        <v>144</v>
      </c>
    </row>
    <row r="388" spans="1:22" x14ac:dyDescent="0.3">
      <c r="A388">
        <v>6</v>
      </c>
      <c r="B388">
        <v>5</v>
      </c>
      <c r="C388">
        <v>207859</v>
      </c>
      <c r="D388" t="s">
        <v>22</v>
      </c>
      <c r="E388" s="10">
        <v>44094</v>
      </c>
      <c r="F388" t="s">
        <v>23</v>
      </c>
      <c r="G388" s="3" t="s">
        <v>146</v>
      </c>
      <c r="H388" t="s">
        <v>50</v>
      </c>
      <c r="S388">
        <v>1</v>
      </c>
      <c r="T388" s="13">
        <f t="shared" si="8"/>
        <v>1</v>
      </c>
      <c r="U388" t="s">
        <v>144</v>
      </c>
    </row>
    <row r="389" spans="1:22" x14ac:dyDescent="0.3">
      <c r="A389">
        <v>6</v>
      </c>
      <c r="B389">
        <v>5</v>
      </c>
      <c r="C389">
        <v>207859</v>
      </c>
      <c r="D389" t="s">
        <v>22</v>
      </c>
      <c r="E389" s="10">
        <v>44094</v>
      </c>
      <c r="F389" t="s">
        <v>23</v>
      </c>
      <c r="G389" s="3" t="s">
        <v>146</v>
      </c>
      <c r="H389" t="s">
        <v>45</v>
      </c>
      <c r="K389">
        <v>10</v>
      </c>
      <c r="T389" s="13">
        <f t="shared" si="8"/>
        <v>10</v>
      </c>
      <c r="U389" t="s">
        <v>144</v>
      </c>
    </row>
    <row r="390" spans="1:22" s="5" customFormat="1" ht="16.2" thickBot="1" x14ac:dyDescent="0.35">
      <c r="A390" s="5">
        <v>6</v>
      </c>
      <c r="B390" s="5">
        <v>5</v>
      </c>
      <c r="C390" s="5">
        <v>207859</v>
      </c>
      <c r="D390" s="5" t="s">
        <v>22</v>
      </c>
      <c r="E390" s="11">
        <v>44094</v>
      </c>
      <c r="F390" s="5" t="s">
        <v>23</v>
      </c>
      <c r="G390" s="6" t="s">
        <v>146</v>
      </c>
      <c r="H390" s="5" t="s">
        <v>46</v>
      </c>
      <c r="Q390" s="5">
        <v>31</v>
      </c>
      <c r="R390" s="5">
        <v>1</v>
      </c>
      <c r="T390" s="12">
        <f t="shared" si="8"/>
        <v>32</v>
      </c>
      <c r="U390" s="5" t="s">
        <v>144</v>
      </c>
      <c r="V390" s="14"/>
    </row>
    <row r="391" spans="1:22" x14ac:dyDescent="0.3">
      <c r="A391">
        <v>7</v>
      </c>
      <c r="B391">
        <v>1</v>
      </c>
      <c r="C391">
        <v>207860</v>
      </c>
      <c r="D391" t="s">
        <v>22</v>
      </c>
      <c r="E391" s="10">
        <v>44094</v>
      </c>
      <c r="F391" t="s">
        <v>23</v>
      </c>
      <c r="G391" s="3" t="s">
        <v>52</v>
      </c>
      <c r="H391" t="s">
        <v>230</v>
      </c>
      <c r="S391">
        <v>1</v>
      </c>
      <c r="T391" s="13">
        <f t="shared" si="8"/>
        <v>1</v>
      </c>
      <c r="U391" t="s">
        <v>143</v>
      </c>
      <c r="V391" s="15" t="s">
        <v>221</v>
      </c>
    </row>
    <row r="392" spans="1:22" x14ac:dyDescent="0.3">
      <c r="A392">
        <v>7</v>
      </c>
      <c r="B392">
        <v>1</v>
      </c>
      <c r="C392">
        <v>207860</v>
      </c>
      <c r="D392" t="s">
        <v>22</v>
      </c>
      <c r="E392" s="10">
        <v>44094</v>
      </c>
      <c r="F392" t="s">
        <v>23</v>
      </c>
      <c r="G392" s="3" t="s">
        <v>52</v>
      </c>
      <c r="H392" t="s">
        <v>64</v>
      </c>
      <c r="S392">
        <v>5</v>
      </c>
      <c r="T392" s="13">
        <f t="shared" si="8"/>
        <v>5</v>
      </c>
      <c r="U392" t="s">
        <v>143</v>
      </c>
    </row>
    <row r="393" spans="1:22" x14ac:dyDescent="0.3">
      <c r="A393">
        <v>7</v>
      </c>
      <c r="B393">
        <v>1</v>
      </c>
      <c r="C393">
        <v>207860</v>
      </c>
      <c r="D393" t="s">
        <v>22</v>
      </c>
      <c r="E393" s="10">
        <v>44094</v>
      </c>
      <c r="F393" t="s">
        <v>23</v>
      </c>
      <c r="G393" s="3" t="s">
        <v>52</v>
      </c>
      <c r="H393" t="s">
        <v>141</v>
      </c>
      <c r="S393">
        <v>5</v>
      </c>
      <c r="T393" s="13">
        <f t="shared" si="8"/>
        <v>5</v>
      </c>
      <c r="U393" t="s">
        <v>143</v>
      </c>
    </row>
    <row r="394" spans="1:22" x14ac:dyDescent="0.3">
      <c r="A394">
        <v>7</v>
      </c>
      <c r="B394">
        <v>1</v>
      </c>
      <c r="C394">
        <v>207860</v>
      </c>
      <c r="D394" t="s">
        <v>22</v>
      </c>
      <c r="E394" s="10">
        <v>44094</v>
      </c>
      <c r="F394" t="s">
        <v>23</v>
      </c>
      <c r="G394" s="3" t="s">
        <v>80</v>
      </c>
      <c r="H394" t="s">
        <v>25</v>
      </c>
      <c r="N394">
        <v>4</v>
      </c>
      <c r="O394">
        <v>15</v>
      </c>
      <c r="P394">
        <v>52</v>
      </c>
      <c r="Q394">
        <v>2</v>
      </c>
      <c r="T394" s="13">
        <f t="shared" si="8"/>
        <v>73</v>
      </c>
      <c r="U394" t="s">
        <v>144</v>
      </c>
    </row>
    <row r="395" spans="1:22" x14ac:dyDescent="0.3">
      <c r="A395">
        <v>7</v>
      </c>
      <c r="B395">
        <v>1</v>
      </c>
      <c r="C395">
        <v>207860</v>
      </c>
      <c r="D395" t="s">
        <v>22</v>
      </c>
      <c r="E395" s="10">
        <v>44094</v>
      </c>
      <c r="F395" t="s">
        <v>23</v>
      </c>
      <c r="G395" s="3" t="s">
        <v>80</v>
      </c>
      <c r="H395" t="s">
        <v>27</v>
      </c>
      <c r="O395">
        <v>1</v>
      </c>
      <c r="P395">
        <v>1</v>
      </c>
      <c r="T395" s="13">
        <f t="shared" si="8"/>
        <v>2</v>
      </c>
      <c r="U395" t="s">
        <v>144</v>
      </c>
    </row>
    <row r="396" spans="1:22" x14ac:dyDescent="0.3">
      <c r="A396">
        <v>7</v>
      </c>
      <c r="B396">
        <v>1</v>
      </c>
      <c r="C396">
        <v>207860</v>
      </c>
      <c r="D396" t="s">
        <v>22</v>
      </c>
      <c r="E396" s="10">
        <v>44094</v>
      </c>
      <c r="F396" t="s">
        <v>23</v>
      </c>
      <c r="G396" s="3" t="s">
        <v>80</v>
      </c>
      <c r="H396" t="s">
        <v>69</v>
      </c>
      <c r="I396">
        <v>3</v>
      </c>
      <c r="T396" s="13">
        <f t="shared" si="8"/>
        <v>3</v>
      </c>
      <c r="U396" t="s">
        <v>144</v>
      </c>
    </row>
    <row r="397" spans="1:22" x14ac:dyDescent="0.3">
      <c r="A397">
        <v>7</v>
      </c>
      <c r="B397">
        <v>1</v>
      </c>
      <c r="C397">
        <v>207860</v>
      </c>
      <c r="D397" t="s">
        <v>22</v>
      </c>
      <c r="E397" s="10">
        <v>44094</v>
      </c>
      <c r="F397" t="s">
        <v>23</v>
      </c>
      <c r="G397" s="3" t="s">
        <v>73</v>
      </c>
      <c r="H397" t="s">
        <v>98</v>
      </c>
      <c r="Q397">
        <v>4</v>
      </c>
      <c r="T397" s="13">
        <f t="shared" si="8"/>
        <v>4</v>
      </c>
      <c r="U397" t="s">
        <v>144</v>
      </c>
    </row>
    <row r="398" spans="1:22" x14ac:dyDescent="0.3">
      <c r="A398">
        <v>7</v>
      </c>
      <c r="B398">
        <v>1</v>
      </c>
      <c r="C398">
        <v>207860</v>
      </c>
      <c r="D398" t="s">
        <v>22</v>
      </c>
      <c r="E398" s="10">
        <v>44094</v>
      </c>
      <c r="F398" t="s">
        <v>23</v>
      </c>
      <c r="G398" s="3" t="s">
        <v>73</v>
      </c>
      <c r="H398" t="s">
        <v>30</v>
      </c>
      <c r="I398">
        <v>5</v>
      </c>
      <c r="J398">
        <v>4</v>
      </c>
      <c r="T398" s="13">
        <f t="shared" si="8"/>
        <v>9</v>
      </c>
      <c r="U398" t="s">
        <v>144</v>
      </c>
    </row>
    <row r="399" spans="1:22" x14ac:dyDescent="0.3">
      <c r="A399">
        <v>7</v>
      </c>
      <c r="B399">
        <v>1</v>
      </c>
      <c r="C399">
        <v>207860</v>
      </c>
      <c r="D399" t="s">
        <v>22</v>
      </c>
      <c r="E399" s="10">
        <v>44094</v>
      </c>
      <c r="F399" t="s">
        <v>23</v>
      </c>
      <c r="G399" s="3" t="s">
        <v>73</v>
      </c>
      <c r="H399" t="s">
        <v>31</v>
      </c>
      <c r="O399">
        <v>6</v>
      </c>
      <c r="P399">
        <v>4</v>
      </c>
      <c r="Q399">
        <v>21</v>
      </c>
      <c r="R399">
        <v>7</v>
      </c>
      <c r="T399" s="13">
        <f t="shared" si="8"/>
        <v>38</v>
      </c>
      <c r="U399" t="s">
        <v>144</v>
      </c>
    </row>
    <row r="400" spans="1:22" x14ac:dyDescent="0.3">
      <c r="A400">
        <v>7</v>
      </c>
      <c r="B400">
        <v>1</v>
      </c>
      <c r="C400">
        <v>207860</v>
      </c>
      <c r="D400" t="s">
        <v>22</v>
      </c>
      <c r="E400" s="10">
        <v>44094</v>
      </c>
      <c r="F400" t="s">
        <v>23</v>
      </c>
      <c r="G400" s="3" t="s">
        <v>73</v>
      </c>
      <c r="H400" t="s">
        <v>37</v>
      </c>
      <c r="O400">
        <v>5</v>
      </c>
      <c r="P400">
        <v>2</v>
      </c>
      <c r="Q400">
        <v>4</v>
      </c>
      <c r="R400">
        <v>3</v>
      </c>
      <c r="T400" s="13">
        <f t="shared" si="8"/>
        <v>14</v>
      </c>
      <c r="U400" t="s">
        <v>144</v>
      </c>
    </row>
    <row r="401" spans="1:22" x14ac:dyDescent="0.3">
      <c r="A401">
        <v>7</v>
      </c>
      <c r="B401">
        <v>1</v>
      </c>
      <c r="C401">
        <v>207860</v>
      </c>
      <c r="D401" t="s">
        <v>22</v>
      </c>
      <c r="E401" s="10">
        <v>44094</v>
      </c>
      <c r="F401" t="s">
        <v>23</v>
      </c>
      <c r="G401" s="3" t="s">
        <v>73</v>
      </c>
      <c r="H401" t="s">
        <v>38</v>
      </c>
      <c r="P401">
        <v>1</v>
      </c>
      <c r="Q401">
        <v>47</v>
      </c>
      <c r="R401">
        <v>47</v>
      </c>
      <c r="T401" s="13">
        <f t="shared" si="8"/>
        <v>95</v>
      </c>
      <c r="U401" t="s">
        <v>144</v>
      </c>
    </row>
    <row r="402" spans="1:22" x14ac:dyDescent="0.3">
      <c r="A402">
        <v>7</v>
      </c>
      <c r="B402">
        <v>1</v>
      </c>
      <c r="C402">
        <v>207860</v>
      </c>
      <c r="D402" t="s">
        <v>22</v>
      </c>
      <c r="E402" s="10">
        <v>44094</v>
      </c>
      <c r="F402" t="s">
        <v>23</v>
      </c>
      <c r="G402" s="3" t="s">
        <v>73</v>
      </c>
      <c r="H402" t="s">
        <v>39</v>
      </c>
      <c r="Q402">
        <v>1</v>
      </c>
      <c r="R402">
        <v>1</v>
      </c>
      <c r="T402" s="13">
        <f t="shared" si="8"/>
        <v>2</v>
      </c>
      <c r="U402" t="s">
        <v>144</v>
      </c>
    </row>
    <row r="403" spans="1:22" x14ac:dyDescent="0.3">
      <c r="A403">
        <v>7</v>
      </c>
      <c r="B403">
        <v>1</v>
      </c>
      <c r="C403">
        <v>207860</v>
      </c>
      <c r="D403" t="s">
        <v>22</v>
      </c>
      <c r="E403" s="10">
        <v>44094</v>
      </c>
      <c r="F403" t="s">
        <v>23</v>
      </c>
      <c r="G403" s="3" t="s">
        <v>73</v>
      </c>
      <c r="H403" t="s">
        <v>34</v>
      </c>
      <c r="Q403">
        <v>1</v>
      </c>
      <c r="R403">
        <v>4</v>
      </c>
      <c r="T403" s="13">
        <f t="shared" si="8"/>
        <v>5</v>
      </c>
      <c r="U403" t="s">
        <v>144</v>
      </c>
    </row>
    <row r="404" spans="1:22" x14ac:dyDescent="0.3">
      <c r="A404">
        <v>7</v>
      </c>
      <c r="B404">
        <v>1</v>
      </c>
      <c r="C404">
        <v>207860</v>
      </c>
      <c r="D404" t="s">
        <v>22</v>
      </c>
      <c r="E404" s="10">
        <v>44094</v>
      </c>
      <c r="F404" t="s">
        <v>23</v>
      </c>
      <c r="G404" s="3" t="s">
        <v>73</v>
      </c>
      <c r="H404" t="s">
        <v>43</v>
      </c>
      <c r="I404">
        <v>1</v>
      </c>
      <c r="K404">
        <v>1</v>
      </c>
      <c r="Q404">
        <v>1</v>
      </c>
      <c r="T404" s="13">
        <f t="shared" si="8"/>
        <v>3</v>
      </c>
      <c r="U404" t="s">
        <v>144</v>
      </c>
    </row>
    <row r="405" spans="1:22" x14ac:dyDescent="0.3">
      <c r="A405">
        <v>7</v>
      </c>
      <c r="B405">
        <v>1</v>
      </c>
      <c r="C405">
        <v>207860</v>
      </c>
      <c r="D405" t="s">
        <v>22</v>
      </c>
      <c r="E405" s="10">
        <v>44094</v>
      </c>
      <c r="F405" t="s">
        <v>23</v>
      </c>
      <c r="G405" s="3" t="s">
        <v>73</v>
      </c>
      <c r="H405" t="s">
        <v>45</v>
      </c>
      <c r="K405">
        <v>3</v>
      </c>
      <c r="T405" s="13">
        <f t="shared" si="8"/>
        <v>3</v>
      </c>
      <c r="U405" t="s">
        <v>144</v>
      </c>
    </row>
    <row r="406" spans="1:22" x14ac:dyDescent="0.3">
      <c r="A406">
        <v>7</v>
      </c>
      <c r="B406">
        <v>1</v>
      </c>
      <c r="C406">
        <v>207860</v>
      </c>
      <c r="D406" t="s">
        <v>22</v>
      </c>
      <c r="E406" s="10">
        <v>44094</v>
      </c>
      <c r="F406" t="s">
        <v>23</v>
      </c>
      <c r="G406" s="3" t="s">
        <v>73</v>
      </c>
      <c r="H406" t="s">
        <v>46</v>
      </c>
      <c r="Q406">
        <v>5</v>
      </c>
      <c r="R406">
        <v>2</v>
      </c>
      <c r="T406" s="13">
        <f t="shared" si="8"/>
        <v>7</v>
      </c>
      <c r="U406" t="s">
        <v>144</v>
      </c>
    </row>
    <row r="407" spans="1:22" s="5" customFormat="1" ht="16.2" thickBot="1" x14ac:dyDescent="0.35">
      <c r="A407" s="5">
        <v>7</v>
      </c>
      <c r="B407" s="5">
        <v>1</v>
      </c>
      <c r="C407" s="5">
        <v>207860</v>
      </c>
      <c r="D407" s="5" t="s">
        <v>22</v>
      </c>
      <c r="E407" s="11">
        <v>44094</v>
      </c>
      <c r="F407" s="5" t="s">
        <v>23</v>
      </c>
      <c r="G407" s="6" t="s">
        <v>73</v>
      </c>
      <c r="H407" s="5" t="s">
        <v>79</v>
      </c>
      <c r="S407" s="5">
        <v>1</v>
      </c>
      <c r="T407" s="12">
        <f t="shared" si="8"/>
        <v>1</v>
      </c>
      <c r="U407" s="5" t="s">
        <v>144</v>
      </c>
      <c r="V407" s="14"/>
    </row>
    <row r="408" spans="1:22" x14ac:dyDescent="0.3">
      <c r="A408">
        <v>7</v>
      </c>
      <c r="B408">
        <v>2</v>
      </c>
      <c r="C408">
        <v>207861</v>
      </c>
      <c r="D408" t="s">
        <v>22</v>
      </c>
      <c r="E408" s="10">
        <v>44094</v>
      </c>
      <c r="F408" t="s">
        <v>23</v>
      </c>
      <c r="G408" s="3" t="s">
        <v>87</v>
      </c>
      <c r="H408" t="s">
        <v>25</v>
      </c>
      <c r="M408">
        <v>1</v>
      </c>
      <c r="N408">
        <v>9</v>
      </c>
      <c r="O408">
        <v>11</v>
      </c>
      <c r="P408">
        <v>69</v>
      </c>
      <c r="Q408">
        <v>1</v>
      </c>
      <c r="T408" s="13">
        <f t="shared" si="8"/>
        <v>91</v>
      </c>
      <c r="U408" t="s">
        <v>144</v>
      </c>
      <c r="V408" s="15" t="s">
        <v>221</v>
      </c>
    </row>
    <row r="409" spans="1:22" x14ac:dyDescent="0.3">
      <c r="A409">
        <v>7</v>
      </c>
      <c r="B409">
        <v>2</v>
      </c>
      <c r="C409">
        <v>207861</v>
      </c>
      <c r="D409" t="s">
        <v>22</v>
      </c>
      <c r="E409" s="10">
        <v>44094</v>
      </c>
      <c r="F409" t="s">
        <v>23</v>
      </c>
      <c r="G409" s="3" t="s">
        <v>87</v>
      </c>
      <c r="H409" t="s">
        <v>27</v>
      </c>
      <c r="P409">
        <v>1</v>
      </c>
      <c r="T409" s="13">
        <f t="shared" si="8"/>
        <v>1</v>
      </c>
      <c r="U409" t="s">
        <v>144</v>
      </c>
    </row>
    <row r="410" spans="1:22" x14ac:dyDescent="0.3">
      <c r="A410">
        <v>7</v>
      </c>
      <c r="B410">
        <v>2</v>
      </c>
      <c r="C410">
        <v>207861</v>
      </c>
      <c r="D410" t="s">
        <v>22</v>
      </c>
      <c r="E410" s="10">
        <v>44094</v>
      </c>
      <c r="F410" t="s">
        <v>23</v>
      </c>
      <c r="G410" s="3" t="s">
        <v>87</v>
      </c>
      <c r="H410" t="s">
        <v>69</v>
      </c>
      <c r="I410">
        <v>4</v>
      </c>
      <c r="T410" s="13">
        <f t="shared" si="8"/>
        <v>4</v>
      </c>
      <c r="U410" t="s">
        <v>144</v>
      </c>
    </row>
    <row r="411" spans="1:22" x14ac:dyDescent="0.3">
      <c r="A411">
        <v>7</v>
      </c>
      <c r="B411">
        <v>2</v>
      </c>
      <c r="C411">
        <v>207861</v>
      </c>
      <c r="D411" t="s">
        <v>22</v>
      </c>
      <c r="E411" s="10">
        <v>44094</v>
      </c>
      <c r="F411" t="s">
        <v>23</v>
      </c>
      <c r="G411" s="3" t="s">
        <v>28</v>
      </c>
      <c r="H411" t="s">
        <v>33</v>
      </c>
      <c r="Q411">
        <v>6</v>
      </c>
      <c r="R411">
        <v>6</v>
      </c>
      <c r="T411" s="13">
        <f t="shared" si="8"/>
        <v>12</v>
      </c>
      <c r="U411" t="s">
        <v>144</v>
      </c>
    </row>
    <row r="412" spans="1:22" x14ac:dyDescent="0.3">
      <c r="A412">
        <v>7</v>
      </c>
      <c r="B412">
        <v>2</v>
      </c>
      <c r="C412">
        <v>207861</v>
      </c>
      <c r="D412" t="s">
        <v>22</v>
      </c>
      <c r="E412" s="10">
        <v>44094</v>
      </c>
      <c r="F412" t="s">
        <v>23</v>
      </c>
      <c r="G412" s="3" t="s">
        <v>28</v>
      </c>
      <c r="H412" t="s">
        <v>44</v>
      </c>
      <c r="N412">
        <v>1</v>
      </c>
      <c r="T412" s="13">
        <f t="shared" si="8"/>
        <v>1</v>
      </c>
      <c r="U412" t="s">
        <v>144</v>
      </c>
    </row>
    <row r="413" spans="1:22" x14ac:dyDescent="0.3">
      <c r="A413">
        <v>7</v>
      </c>
      <c r="B413">
        <v>2</v>
      </c>
      <c r="C413">
        <v>207861</v>
      </c>
      <c r="D413" t="s">
        <v>22</v>
      </c>
      <c r="E413" s="10">
        <v>44094</v>
      </c>
      <c r="F413" t="s">
        <v>23</v>
      </c>
      <c r="G413" s="3" t="s">
        <v>28</v>
      </c>
      <c r="H413" t="s">
        <v>98</v>
      </c>
      <c r="Q413">
        <v>1</v>
      </c>
      <c r="R413">
        <v>1</v>
      </c>
      <c r="T413" s="13">
        <f t="shared" si="8"/>
        <v>2</v>
      </c>
      <c r="U413" t="s">
        <v>144</v>
      </c>
    </row>
    <row r="414" spans="1:22" x14ac:dyDescent="0.3">
      <c r="A414">
        <v>7</v>
      </c>
      <c r="B414">
        <v>2</v>
      </c>
      <c r="C414">
        <v>207861</v>
      </c>
      <c r="D414" t="s">
        <v>22</v>
      </c>
      <c r="E414" s="10">
        <v>44094</v>
      </c>
      <c r="F414" t="s">
        <v>23</v>
      </c>
      <c r="G414" s="3" t="s">
        <v>28</v>
      </c>
      <c r="H414" t="s">
        <v>150</v>
      </c>
      <c r="Q414">
        <v>2</v>
      </c>
      <c r="T414" s="13">
        <f t="shared" si="8"/>
        <v>2</v>
      </c>
      <c r="U414" t="s">
        <v>144</v>
      </c>
    </row>
    <row r="415" spans="1:22" x14ac:dyDescent="0.3">
      <c r="A415">
        <v>7</v>
      </c>
      <c r="B415">
        <v>2</v>
      </c>
      <c r="C415">
        <v>207861</v>
      </c>
      <c r="D415" t="s">
        <v>22</v>
      </c>
      <c r="E415" s="10">
        <v>44094</v>
      </c>
      <c r="F415" t="s">
        <v>23</v>
      </c>
      <c r="G415" s="3" t="s">
        <v>28</v>
      </c>
      <c r="H415" t="s">
        <v>192</v>
      </c>
      <c r="S415">
        <v>1</v>
      </c>
      <c r="T415" s="13">
        <f t="shared" si="8"/>
        <v>1</v>
      </c>
      <c r="U415" t="s">
        <v>144</v>
      </c>
    </row>
    <row r="416" spans="1:22" x14ac:dyDescent="0.3">
      <c r="A416">
        <v>7</v>
      </c>
      <c r="B416">
        <v>2</v>
      </c>
      <c r="C416">
        <v>207861</v>
      </c>
      <c r="D416" t="s">
        <v>22</v>
      </c>
      <c r="E416" s="10">
        <v>44094</v>
      </c>
      <c r="F416" t="s">
        <v>23</v>
      </c>
      <c r="G416" s="3" t="s">
        <v>28</v>
      </c>
      <c r="H416" t="s">
        <v>30</v>
      </c>
      <c r="I416">
        <v>6</v>
      </c>
      <c r="J416">
        <v>3</v>
      </c>
      <c r="T416" s="13">
        <f t="shared" si="8"/>
        <v>9</v>
      </c>
      <c r="U416" t="s">
        <v>144</v>
      </c>
    </row>
    <row r="417" spans="1:22" x14ac:dyDescent="0.3">
      <c r="A417">
        <v>7</v>
      </c>
      <c r="B417">
        <v>2</v>
      </c>
      <c r="C417">
        <v>207861</v>
      </c>
      <c r="D417" t="s">
        <v>22</v>
      </c>
      <c r="E417" s="10">
        <v>44094</v>
      </c>
      <c r="F417" t="s">
        <v>23</v>
      </c>
      <c r="G417" s="3" t="s">
        <v>28</v>
      </c>
      <c r="H417" t="s">
        <v>31</v>
      </c>
      <c r="O417">
        <v>2</v>
      </c>
      <c r="P417">
        <v>2</v>
      </c>
      <c r="Q417">
        <v>12</v>
      </c>
      <c r="R417">
        <v>6</v>
      </c>
      <c r="T417" s="13">
        <f t="shared" si="8"/>
        <v>22</v>
      </c>
      <c r="U417" t="s">
        <v>144</v>
      </c>
    </row>
    <row r="418" spans="1:22" x14ac:dyDescent="0.3">
      <c r="A418">
        <v>7</v>
      </c>
      <c r="B418">
        <v>2</v>
      </c>
      <c r="C418">
        <v>207861</v>
      </c>
      <c r="D418" t="s">
        <v>22</v>
      </c>
      <c r="E418" s="10">
        <v>44094</v>
      </c>
      <c r="F418" t="s">
        <v>23</v>
      </c>
      <c r="G418" s="3" t="s">
        <v>28</v>
      </c>
      <c r="H418" t="s">
        <v>37</v>
      </c>
      <c r="O418">
        <v>3</v>
      </c>
      <c r="P418">
        <v>3</v>
      </c>
      <c r="Q418">
        <v>5</v>
      </c>
      <c r="R418">
        <v>3</v>
      </c>
      <c r="T418" s="13">
        <f t="shared" si="8"/>
        <v>14</v>
      </c>
      <c r="U418" t="s">
        <v>144</v>
      </c>
    </row>
    <row r="419" spans="1:22" x14ac:dyDescent="0.3">
      <c r="A419">
        <v>7</v>
      </c>
      <c r="B419">
        <v>2</v>
      </c>
      <c r="C419">
        <v>207861</v>
      </c>
      <c r="D419" t="s">
        <v>22</v>
      </c>
      <c r="E419" s="10">
        <v>44094</v>
      </c>
      <c r="F419" t="s">
        <v>23</v>
      </c>
      <c r="G419" s="3" t="s">
        <v>28</v>
      </c>
      <c r="H419" t="s">
        <v>32</v>
      </c>
      <c r="O419">
        <v>2</v>
      </c>
      <c r="P419">
        <v>2</v>
      </c>
      <c r="T419" s="13">
        <f t="shared" si="8"/>
        <v>4</v>
      </c>
      <c r="U419" t="s">
        <v>144</v>
      </c>
    </row>
    <row r="420" spans="1:22" x14ac:dyDescent="0.3">
      <c r="A420">
        <v>7</v>
      </c>
      <c r="B420">
        <v>2</v>
      </c>
      <c r="C420">
        <v>207861</v>
      </c>
      <c r="D420" t="s">
        <v>22</v>
      </c>
      <c r="E420" s="10">
        <v>44094</v>
      </c>
      <c r="F420" t="s">
        <v>23</v>
      </c>
      <c r="G420" s="3" t="s">
        <v>28</v>
      </c>
      <c r="H420" t="s">
        <v>38</v>
      </c>
      <c r="Q420">
        <v>36</v>
      </c>
      <c r="R420">
        <v>36</v>
      </c>
      <c r="T420" s="13">
        <f t="shared" si="8"/>
        <v>72</v>
      </c>
      <c r="U420" t="s">
        <v>144</v>
      </c>
    </row>
    <row r="421" spans="1:22" x14ac:dyDescent="0.3">
      <c r="A421">
        <v>7</v>
      </c>
      <c r="B421">
        <v>2</v>
      </c>
      <c r="C421">
        <v>207861</v>
      </c>
      <c r="D421" t="s">
        <v>22</v>
      </c>
      <c r="E421" s="10">
        <v>44094</v>
      </c>
      <c r="F421" t="s">
        <v>23</v>
      </c>
      <c r="G421" s="3" t="s">
        <v>28</v>
      </c>
      <c r="H421" t="s">
        <v>39</v>
      </c>
      <c r="R421">
        <v>1</v>
      </c>
      <c r="T421" s="13">
        <f t="shared" si="8"/>
        <v>1</v>
      </c>
      <c r="U421" t="s">
        <v>144</v>
      </c>
    </row>
    <row r="422" spans="1:22" x14ac:dyDescent="0.3">
      <c r="A422">
        <v>7</v>
      </c>
      <c r="B422">
        <v>2</v>
      </c>
      <c r="C422">
        <v>207861</v>
      </c>
      <c r="D422" t="s">
        <v>22</v>
      </c>
      <c r="E422" s="10">
        <v>44094</v>
      </c>
      <c r="F422" t="s">
        <v>23</v>
      </c>
      <c r="G422" s="3" t="s">
        <v>28</v>
      </c>
      <c r="H422" t="s">
        <v>34</v>
      </c>
      <c r="Q422">
        <v>2</v>
      </c>
      <c r="R422">
        <v>1</v>
      </c>
      <c r="T422" s="13">
        <f t="shared" si="8"/>
        <v>3</v>
      </c>
      <c r="U422" t="s">
        <v>144</v>
      </c>
    </row>
    <row r="423" spans="1:22" x14ac:dyDescent="0.3">
      <c r="A423">
        <v>7</v>
      </c>
      <c r="B423">
        <v>2</v>
      </c>
      <c r="C423">
        <v>207861</v>
      </c>
      <c r="D423" t="s">
        <v>22</v>
      </c>
      <c r="E423" s="10">
        <v>44094</v>
      </c>
      <c r="F423" t="s">
        <v>23</v>
      </c>
      <c r="G423" s="3" t="s">
        <v>28</v>
      </c>
      <c r="H423" t="s">
        <v>43</v>
      </c>
      <c r="K423">
        <v>7</v>
      </c>
      <c r="Q423">
        <v>11</v>
      </c>
      <c r="T423" s="13">
        <f t="shared" si="8"/>
        <v>18</v>
      </c>
      <c r="U423" t="s">
        <v>144</v>
      </c>
    </row>
    <row r="424" spans="1:22" x14ac:dyDescent="0.3">
      <c r="A424">
        <v>7</v>
      </c>
      <c r="B424">
        <v>2</v>
      </c>
      <c r="C424">
        <v>207861</v>
      </c>
      <c r="D424" t="s">
        <v>22</v>
      </c>
      <c r="E424" s="10">
        <v>44094</v>
      </c>
      <c r="F424" t="s">
        <v>23</v>
      </c>
      <c r="G424" s="3" t="s">
        <v>28</v>
      </c>
      <c r="H424" t="s">
        <v>45</v>
      </c>
      <c r="K424">
        <v>2</v>
      </c>
      <c r="T424" s="13">
        <f t="shared" si="8"/>
        <v>2</v>
      </c>
      <c r="U424" t="s">
        <v>144</v>
      </c>
    </row>
    <row r="425" spans="1:22" s="5" customFormat="1" ht="16.2" thickBot="1" x14ac:dyDescent="0.35">
      <c r="A425" s="5">
        <v>7</v>
      </c>
      <c r="B425" s="5">
        <v>2</v>
      </c>
      <c r="C425" s="5">
        <v>207861</v>
      </c>
      <c r="D425" s="5" t="s">
        <v>22</v>
      </c>
      <c r="E425" s="11">
        <v>44094</v>
      </c>
      <c r="F425" s="5" t="s">
        <v>23</v>
      </c>
      <c r="G425" s="6" t="s">
        <v>28</v>
      </c>
      <c r="H425" s="5" t="s">
        <v>46</v>
      </c>
      <c r="Q425" s="5">
        <v>4</v>
      </c>
      <c r="R425" s="5">
        <v>2</v>
      </c>
      <c r="T425" s="12">
        <f t="shared" si="8"/>
        <v>6</v>
      </c>
      <c r="U425" s="5" t="s">
        <v>144</v>
      </c>
      <c r="V425" s="14"/>
    </row>
    <row r="426" spans="1:22" x14ac:dyDescent="0.3">
      <c r="A426">
        <v>7</v>
      </c>
      <c r="B426">
        <v>3</v>
      </c>
      <c r="C426">
        <v>207862</v>
      </c>
      <c r="D426" t="s">
        <v>22</v>
      </c>
      <c r="E426" s="10">
        <v>44094</v>
      </c>
      <c r="F426" t="s">
        <v>23</v>
      </c>
      <c r="G426" s="3" t="s">
        <v>72</v>
      </c>
      <c r="H426" t="s">
        <v>25</v>
      </c>
      <c r="M426">
        <v>5</v>
      </c>
      <c r="N426">
        <v>10</v>
      </c>
      <c r="O426">
        <v>10</v>
      </c>
      <c r="P426">
        <v>46</v>
      </c>
      <c r="Q426">
        <v>5</v>
      </c>
      <c r="R426">
        <v>1</v>
      </c>
      <c r="T426" s="13">
        <f t="shared" si="8"/>
        <v>77</v>
      </c>
      <c r="U426" t="s">
        <v>144</v>
      </c>
    </row>
    <row r="427" spans="1:22" x14ac:dyDescent="0.3">
      <c r="A427">
        <v>7</v>
      </c>
      <c r="B427">
        <v>3</v>
      </c>
      <c r="C427">
        <v>207862</v>
      </c>
      <c r="D427" t="s">
        <v>22</v>
      </c>
      <c r="E427" s="10">
        <v>44094</v>
      </c>
      <c r="F427" t="s">
        <v>23</v>
      </c>
      <c r="G427" s="3" t="s">
        <v>72</v>
      </c>
      <c r="H427" t="s">
        <v>69</v>
      </c>
      <c r="I427">
        <v>7</v>
      </c>
      <c r="T427" s="13">
        <f t="shared" si="8"/>
        <v>7</v>
      </c>
      <c r="U427" t="s">
        <v>144</v>
      </c>
    </row>
    <row r="428" spans="1:22" x14ac:dyDescent="0.3">
      <c r="A428">
        <v>7</v>
      </c>
      <c r="B428">
        <v>3</v>
      </c>
      <c r="C428">
        <v>207862</v>
      </c>
      <c r="D428" t="s">
        <v>22</v>
      </c>
      <c r="E428" s="10">
        <v>44094</v>
      </c>
      <c r="F428" t="s">
        <v>23</v>
      </c>
      <c r="G428" s="3" t="s">
        <v>28</v>
      </c>
      <c r="H428" t="s">
        <v>30</v>
      </c>
      <c r="I428">
        <v>4</v>
      </c>
      <c r="J428">
        <v>18</v>
      </c>
      <c r="T428" s="13">
        <f t="shared" si="8"/>
        <v>22</v>
      </c>
      <c r="U428" t="s">
        <v>144</v>
      </c>
    </row>
    <row r="429" spans="1:22" x14ac:dyDescent="0.3">
      <c r="A429">
        <v>7</v>
      </c>
      <c r="B429">
        <v>3</v>
      </c>
      <c r="C429">
        <v>207862</v>
      </c>
      <c r="D429" t="s">
        <v>22</v>
      </c>
      <c r="E429" s="10">
        <v>44094</v>
      </c>
      <c r="F429" t="s">
        <v>23</v>
      </c>
      <c r="G429" s="3" t="s">
        <v>28</v>
      </c>
      <c r="H429" t="s">
        <v>44</v>
      </c>
      <c r="I429">
        <v>1</v>
      </c>
      <c r="N429">
        <v>1</v>
      </c>
      <c r="T429" s="13">
        <f t="shared" si="8"/>
        <v>2</v>
      </c>
      <c r="U429" t="s">
        <v>144</v>
      </c>
    </row>
    <row r="430" spans="1:22" x14ac:dyDescent="0.3">
      <c r="A430">
        <v>7</v>
      </c>
      <c r="B430">
        <v>3</v>
      </c>
      <c r="C430">
        <v>207862</v>
      </c>
      <c r="D430" t="s">
        <v>22</v>
      </c>
      <c r="E430" s="10">
        <v>44094</v>
      </c>
      <c r="F430" t="s">
        <v>23</v>
      </c>
      <c r="G430" s="3" t="s">
        <v>28</v>
      </c>
      <c r="H430" t="s">
        <v>98</v>
      </c>
      <c r="Q430">
        <v>2</v>
      </c>
      <c r="R430">
        <v>1</v>
      </c>
      <c r="T430" s="13">
        <f t="shared" si="8"/>
        <v>3</v>
      </c>
      <c r="U430" t="s">
        <v>144</v>
      </c>
    </row>
    <row r="431" spans="1:22" x14ac:dyDescent="0.3">
      <c r="A431">
        <v>7</v>
      </c>
      <c r="B431">
        <v>3</v>
      </c>
      <c r="C431">
        <v>207862</v>
      </c>
      <c r="D431" t="s">
        <v>22</v>
      </c>
      <c r="E431" s="10">
        <v>44094</v>
      </c>
      <c r="F431" t="s">
        <v>23</v>
      </c>
      <c r="G431" s="3" t="s">
        <v>28</v>
      </c>
      <c r="H431" t="s">
        <v>35</v>
      </c>
      <c r="Q431">
        <v>1</v>
      </c>
      <c r="T431" s="13">
        <f t="shared" si="8"/>
        <v>1</v>
      </c>
      <c r="U431" t="s">
        <v>144</v>
      </c>
    </row>
    <row r="432" spans="1:22" x14ac:dyDescent="0.3">
      <c r="A432">
        <v>7</v>
      </c>
      <c r="B432">
        <v>3</v>
      </c>
      <c r="C432">
        <v>207862</v>
      </c>
      <c r="D432" t="s">
        <v>22</v>
      </c>
      <c r="E432" s="10">
        <v>44094</v>
      </c>
      <c r="F432" t="s">
        <v>23</v>
      </c>
      <c r="G432" s="3" t="s">
        <v>28</v>
      </c>
      <c r="H432" t="s">
        <v>150</v>
      </c>
      <c r="Q432">
        <v>1</v>
      </c>
      <c r="T432" s="13">
        <f t="shared" si="8"/>
        <v>1</v>
      </c>
      <c r="U432" t="s">
        <v>144</v>
      </c>
    </row>
    <row r="433" spans="1:21" x14ac:dyDescent="0.3">
      <c r="A433">
        <v>7</v>
      </c>
      <c r="B433">
        <v>3</v>
      </c>
      <c r="C433">
        <v>207862</v>
      </c>
      <c r="D433" t="s">
        <v>22</v>
      </c>
      <c r="E433" s="10">
        <v>44094</v>
      </c>
      <c r="F433" t="s">
        <v>23</v>
      </c>
      <c r="G433" s="3" t="s">
        <v>28</v>
      </c>
      <c r="H433" t="s">
        <v>33</v>
      </c>
      <c r="N433">
        <v>1</v>
      </c>
      <c r="O433">
        <v>5</v>
      </c>
      <c r="P433">
        <v>6</v>
      </c>
      <c r="Q433">
        <v>7</v>
      </c>
      <c r="R433">
        <v>8</v>
      </c>
      <c r="T433" s="13">
        <f t="shared" si="8"/>
        <v>27</v>
      </c>
      <c r="U433" t="s">
        <v>144</v>
      </c>
    </row>
    <row r="434" spans="1:21" x14ac:dyDescent="0.3">
      <c r="A434">
        <v>7</v>
      </c>
      <c r="B434">
        <v>3</v>
      </c>
      <c r="C434">
        <v>207862</v>
      </c>
      <c r="D434" t="s">
        <v>22</v>
      </c>
      <c r="E434" s="10">
        <v>44094</v>
      </c>
      <c r="F434" t="s">
        <v>23</v>
      </c>
      <c r="G434" s="3" t="s">
        <v>28</v>
      </c>
      <c r="H434" t="s">
        <v>37</v>
      </c>
      <c r="O434">
        <v>3</v>
      </c>
      <c r="P434">
        <v>5</v>
      </c>
      <c r="Q434">
        <v>13</v>
      </c>
      <c r="R434">
        <v>5</v>
      </c>
      <c r="T434" s="13">
        <f t="shared" si="8"/>
        <v>26</v>
      </c>
      <c r="U434" t="s">
        <v>144</v>
      </c>
    </row>
    <row r="435" spans="1:21" x14ac:dyDescent="0.3">
      <c r="A435">
        <v>7</v>
      </c>
      <c r="B435">
        <v>3</v>
      </c>
      <c r="C435">
        <v>207862</v>
      </c>
      <c r="D435" t="s">
        <v>22</v>
      </c>
      <c r="E435" s="10">
        <v>44094</v>
      </c>
      <c r="F435" t="s">
        <v>23</v>
      </c>
      <c r="G435" s="3" t="s">
        <v>28</v>
      </c>
      <c r="H435" t="s">
        <v>32</v>
      </c>
      <c r="O435">
        <v>8</v>
      </c>
      <c r="T435" s="13">
        <f t="shared" si="8"/>
        <v>8</v>
      </c>
      <c r="U435" t="s">
        <v>144</v>
      </c>
    </row>
    <row r="436" spans="1:21" x14ac:dyDescent="0.3">
      <c r="A436">
        <v>7</v>
      </c>
      <c r="B436">
        <v>3</v>
      </c>
      <c r="C436">
        <v>207862</v>
      </c>
      <c r="D436" t="s">
        <v>22</v>
      </c>
      <c r="E436" s="10">
        <v>44094</v>
      </c>
      <c r="F436" t="s">
        <v>23</v>
      </c>
      <c r="G436" s="3" t="s">
        <v>28</v>
      </c>
      <c r="H436" t="s">
        <v>31</v>
      </c>
      <c r="P436">
        <v>7</v>
      </c>
      <c r="Q436">
        <v>5</v>
      </c>
      <c r="R436">
        <v>1</v>
      </c>
      <c r="T436" s="13">
        <f t="shared" si="8"/>
        <v>13</v>
      </c>
      <c r="U436" t="s">
        <v>144</v>
      </c>
    </row>
    <row r="437" spans="1:21" x14ac:dyDescent="0.3">
      <c r="A437">
        <v>7</v>
      </c>
      <c r="B437">
        <v>3</v>
      </c>
      <c r="C437">
        <v>207862</v>
      </c>
      <c r="D437" t="s">
        <v>22</v>
      </c>
      <c r="E437" s="10">
        <v>44094</v>
      </c>
      <c r="F437" t="s">
        <v>23</v>
      </c>
      <c r="G437" s="3" t="s">
        <v>28</v>
      </c>
      <c r="H437" t="s">
        <v>38</v>
      </c>
      <c r="P437">
        <v>12</v>
      </c>
      <c r="Q437">
        <v>14</v>
      </c>
      <c r="R437">
        <v>11</v>
      </c>
      <c r="T437" s="13">
        <f t="shared" si="8"/>
        <v>37</v>
      </c>
      <c r="U437" t="s">
        <v>144</v>
      </c>
    </row>
    <row r="438" spans="1:21" x14ac:dyDescent="0.3">
      <c r="A438">
        <v>7</v>
      </c>
      <c r="B438">
        <v>3</v>
      </c>
      <c r="C438">
        <v>207862</v>
      </c>
      <c r="D438" t="s">
        <v>22</v>
      </c>
      <c r="E438" s="10">
        <v>44094</v>
      </c>
      <c r="F438" t="s">
        <v>23</v>
      </c>
      <c r="G438" s="3" t="s">
        <v>28</v>
      </c>
      <c r="H438" t="s">
        <v>57</v>
      </c>
      <c r="S438">
        <v>5</v>
      </c>
      <c r="T438" s="13">
        <f t="shared" si="8"/>
        <v>5</v>
      </c>
      <c r="U438" t="s">
        <v>144</v>
      </c>
    </row>
    <row r="439" spans="1:21" x14ac:dyDescent="0.3">
      <c r="A439">
        <v>7</v>
      </c>
      <c r="B439">
        <v>3</v>
      </c>
      <c r="C439">
        <v>207862</v>
      </c>
      <c r="D439" t="s">
        <v>22</v>
      </c>
      <c r="E439" s="10">
        <v>44094</v>
      </c>
      <c r="F439" t="s">
        <v>23</v>
      </c>
      <c r="G439" s="3" t="s">
        <v>28</v>
      </c>
      <c r="H439" t="s">
        <v>56</v>
      </c>
      <c r="S439">
        <v>2</v>
      </c>
      <c r="T439" s="13">
        <f t="shared" si="8"/>
        <v>2</v>
      </c>
      <c r="U439" t="s">
        <v>144</v>
      </c>
    </row>
    <row r="440" spans="1:21" x14ac:dyDescent="0.3">
      <c r="A440">
        <v>7</v>
      </c>
      <c r="B440">
        <v>3</v>
      </c>
      <c r="C440">
        <v>207862</v>
      </c>
      <c r="D440" t="s">
        <v>22</v>
      </c>
      <c r="E440" s="10">
        <v>44094</v>
      </c>
      <c r="F440" t="s">
        <v>23</v>
      </c>
      <c r="G440" s="3" t="s">
        <v>28</v>
      </c>
      <c r="H440" t="s">
        <v>55</v>
      </c>
      <c r="S440">
        <v>4</v>
      </c>
      <c r="T440" s="13">
        <f t="shared" ref="T440:T503" si="9">SUM(I440:S440)</f>
        <v>4</v>
      </c>
      <c r="U440" t="s">
        <v>144</v>
      </c>
    </row>
    <row r="441" spans="1:21" x14ac:dyDescent="0.3">
      <c r="A441">
        <v>7</v>
      </c>
      <c r="B441">
        <v>3</v>
      </c>
      <c r="C441">
        <v>207862</v>
      </c>
      <c r="D441" t="s">
        <v>22</v>
      </c>
      <c r="E441" s="10">
        <v>44094</v>
      </c>
      <c r="F441" t="s">
        <v>23</v>
      </c>
      <c r="G441" s="3" t="s">
        <v>28</v>
      </c>
      <c r="H441" t="s">
        <v>51</v>
      </c>
      <c r="S441">
        <v>1</v>
      </c>
      <c r="T441" s="13">
        <f t="shared" si="9"/>
        <v>1</v>
      </c>
      <c r="U441" t="s">
        <v>144</v>
      </c>
    </row>
    <row r="442" spans="1:21" x14ac:dyDescent="0.3">
      <c r="A442">
        <v>7</v>
      </c>
      <c r="B442">
        <v>3</v>
      </c>
      <c r="C442">
        <v>207862</v>
      </c>
      <c r="D442" t="s">
        <v>22</v>
      </c>
      <c r="E442" s="10">
        <v>44094</v>
      </c>
      <c r="F442" t="s">
        <v>23</v>
      </c>
      <c r="G442" s="3" t="s">
        <v>28</v>
      </c>
      <c r="H442" t="s">
        <v>79</v>
      </c>
      <c r="S442">
        <v>1</v>
      </c>
      <c r="T442" s="13">
        <f t="shared" si="9"/>
        <v>1</v>
      </c>
      <c r="U442" t="s">
        <v>144</v>
      </c>
    </row>
    <row r="443" spans="1:21" x14ac:dyDescent="0.3">
      <c r="A443">
        <v>7</v>
      </c>
      <c r="B443">
        <v>3</v>
      </c>
      <c r="C443">
        <v>207862</v>
      </c>
      <c r="D443" t="s">
        <v>22</v>
      </c>
      <c r="E443" s="10">
        <v>44094</v>
      </c>
      <c r="F443" t="s">
        <v>23</v>
      </c>
      <c r="G443" s="3" t="s">
        <v>28</v>
      </c>
      <c r="H443" t="s">
        <v>41</v>
      </c>
      <c r="S443">
        <v>5</v>
      </c>
      <c r="T443" s="13">
        <f t="shared" si="9"/>
        <v>5</v>
      </c>
      <c r="U443" t="s">
        <v>144</v>
      </c>
    </row>
    <row r="444" spans="1:21" x14ac:dyDescent="0.3">
      <c r="A444">
        <v>7</v>
      </c>
      <c r="B444">
        <v>3</v>
      </c>
      <c r="C444">
        <v>207862</v>
      </c>
      <c r="D444" t="s">
        <v>22</v>
      </c>
      <c r="E444" s="10">
        <v>44094</v>
      </c>
      <c r="F444" t="s">
        <v>23</v>
      </c>
      <c r="G444" s="3" t="s">
        <v>28</v>
      </c>
      <c r="H444" t="s">
        <v>50</v>
      </c>
      <c r="S444">
        <v>1</v>
      </c>
      <c r="T444" s="13">
        <f t="shared" si="9"/>
        <v>1</v>
      </c>
      <c r="U444" t="s">
        <v>144</v>
      </c>
    </row>
    <row r="445" spans="1:21" x14ac:dyDescent="0.3">
      <c r="A445">
        <v>7</v>
      </c>
      <c r="B445">
        <v>3</v>
      </c>
      <c r="C445">
        <v>207862</v>
      </c>
      <c r="D445" t="s">
        <v>22</v>
      </c>
      <c r="E445" s="10">
        <v>44094</v>
      </c>
      <c r="F445" t="s">
        <v>23</v>
      </c>
      <c r="G445" s="3" t="s">
        <v>28</v>
      </c>
      <c r="H445" t="s">
        <v>49</v>
      </c>
      <c r="S445">
        <v>2</v>
      </c>
      <c r="T445" s="13">
        <f t="shared" si="9"/>
        <v>2</v>
      </c>
      <c r="U445" t="s">
        <v>144</v>
      </c>
    </row>
    <row r="446" spans="1:21" x14ac:dyDescent="0.3">
      <c r="A446">
        <v>7</v>
      </c>
      <c r="B446">
        <v>3</v>
      </c>
      <c r="C446">
        <v>207862</v>
      </c>
      <c r="D446" t="s">
        <v>22</v>
      </c>
      <c r="E446" s="10">
        <v>44094</v>
      </c>
      <c r="F446" t="s">
        <v>23</v>
      </c>
      <c r="G446" s="3" t="s">
        <v>28</v>
      </c>
      <c r="H446" t="s">
        <v>223</v>
      </c>
      <c r="S446">
        <v>1</v>
      </c>
      <c r="T446" s="13">
        <f t="shared" si="9"/>
        <v>1</v>
      </c>
      <c r="U446" t="s">
        <v>144</v>
      </c>
    </row>
    <row r="447" spans="1:21" x14ac:dyDescent="0.3">
      <c r="A447">
        <v>7</v>
      </c>
      <c r="B447">
        <v>3</v>
      </c>
      <c r="C447">
        <v>207862</v>
      </c>
      <c r="D447" t="s">
        <v>22</v>
      </c>
      <c r="E447" s="10">
        <v>44094</v>
      </c>
      <c r="F447" t="s">
        <v>23</v>
      </c>
      <c r="G447" s="3" t="s">
        <v>28</v>
      </c>
      <c r="H447" t="s">
        <v>43</v>
      </c>
      <c r="K447">
        <v>3</v>
      </c>
      <c r="Q447">
        <v>2</v>
      </c>
      <c r="T447" s="13">
        <f t="shared" si="9"/>
        <v>5</v>
      </c>
      <c r="U447" t="s">
        <v>144</v>
      </c>
    </row>
    <row r="448" spans="1:21" x14ac:dyDescent="0.3">
      <c r="A448">
        <v>7</v>
      </c>
      <c r="B448">
        <v>3</v>
      </c>
      <c r="C448">
        <v>207862</v>
      </c>
      <c r="D448" t="s">
        <v>22</v>
      </c>
      <c r="E448" s="10">
        <v>44094</v>
      </c>
      <c r="F448" t="s">
        <v>23</v>
      </c>
      <c r="G448" s="3" t="s">
        <v>28</v>
      </c>
      <c r="H448" t="s">
        <v>45</v>
      </c>
      <c r="I448">
        <v>5</v>
      </c>
      <c r="K448">
        <v>17</v>
      </c>
      <c r="T448" s="13">
        <f t="shared" si="9"/>
        <v>22</v>
      </c>
      <c r="U448" t="s">
        <v>144</v>
      </c>
    </row>
    <row r="449" spans="1:22" s="5" customFormat="1" ht="16.2" thickBot="1" x14ac:dyDescent="0.35">
      <c r="A449" s="5">
        <v>7</v>
      </c>
      <c r="B449" s="5">
        <v>3</v>
      </c>
      <c r="C449" s="5">
        <v>207862</v>
      </c>
      <c r="D449" s="5" t="s">
        <v>22</v>
      </c>
      <c r="E449" s="11">
        <v>44094</v>
      </c>
      <c r="F449" s="5" t="s">
        <v>23</v>
      </c>
      <c r="G449" s="6" t="s">
        <v>28</v>
      </c>
      <c r="H449" s="5" t="s">
        <v>46</v>
      </c>
      <c r="Q449" s="5">
        <v>60</v>
      </c>
      <c r="R449" s="5">
        <v>6</v>
      </c>
      <c r="T449" s="12">
        <f t="shared" si="9"/>
        <v>66</v>
      </c>
      <c r="U449" s="5" t="s">
        <v>144</v>
      </c>
      <c r="V449" s="14"/>
    </row>
    <row r="450" spans="1:22" ht="31.2" x14ac:dyDescent="0.3">
      <c r="A450">
        <v>7</v>
      </c>
      <c r="B450">
        <v>4</v>
      </c>
      <c r="C450">
        <v>207863</v>
      </c>
      <c r="D450" t="s">
        <v>22</v>
      </c>
      <c r="E450" s="10">
        <v>44094</v>
      </c>
      <c r="F450" t="s">
        <v>23</v>
      </c>
      <c r="G450" s="3" t="s">
        <v>48</v>
      </c>
      <c r="H450" t="s">
        <v>33</v>
      </c>
      <c r="M450">
        <v>1</v>
      </c>
      <c r="N450">
        <v>7</v>
      </c>
      <c r="O450">
        <v>8</v>
      </c>
      <c r="P450">
        <v>10</v>
      </c>
      <c r="Q450">
        <v>17</v>
      </c>
      <c r="R450">
        <v>28</v>
      </c>
      <c r="T450" s="13">
        <f t="shared" si="9"/>
        <v>71</v>
      </c>
      <c r="U450" t="s">
        <v>144</v>
      </c>
      <c r="V450" s="15" t="s">
        <v>231</v>
      </c>
    </row>
    <row r="451" spans="1:22" x14ac:dyDescent="0.3">
      <c r="A451">
        <v>7</v>
      </c>
      <c r="B451">
        <v>4</v>
      </c>
      <c r="C451">
        <v>207863</v>
      </c>
      <c r="D451" t="s">
        <v>22</v>
      </c>
      <c r="E451" s="10">
        <v>44094</v>
      </c>
      <c r="F451" t="s">
        <v>23</v>
      </c>
      <c r="G451" s="3" t="s">
        <v>48</v>
      </c>
      <c r="H451" t="s">
        <v>44</v>
      </c>
      <c r="N451">
        <v>2</v>
      </c>
      <c r="T451" s="13">
        <f t="shared" si="9"/>
        <v>2</v>
      </c>
      <c r="U451" t="s">
        <v>144</v>
      </c>
    </row>
    <row r="452" spans="1:22" x14ac:dyDescent="0.3">
      <c r="A452">
        <v>7</v>
      </c>
      <c r="B452">
        <v>4</v>
      </c>
      <c r="C452">
        <v>207863</v>
      </c>
      <c r="D452" t="s">
        <v>22</v>
      </c>
      <c r="E452" s="10">
        <v>44094</v>
      </c>
      <c r="F452" t="s">
        <v>23</v>
      </c>
      <c r="G452" s="3" t="s">
        <v>48</v>
      </c>
      <c r="H452" t="s">
        <v>98</v>
      </c>
      <c r="Q452">
        <v>2</v>
      </c>
      <c r="T452" s="13">
        <f t="shared" si="9"/>
        <v>2</v>
      </c>
      <c r="U452" t="s">
        <v>144</v>
      </c>
    </row>
    <row r="453" spans="1:22" x14ac:dyDescent="0.3">
      <c r="A453">
        <v>7</v>
      </c>
      <c r="B453">
        <v>4</v>
      </c>
      <c r="C453">
        <v>207863</v>
      </c>
      <c r="D453" t="s">
        <v>22</v>
      </c>
      <c r="E453" s="10">
        <v>44094</v>
      </c>
      <c r="F453" t="s">
        <v>23</v>
      </c>
      <c r="G453" s="3" t="s">
        <v>48</v>
      </c>
      <c r="H453" t="s">
        <v>71</v>
      </c>
      <c r="Q453">
        <v>2</v>
      </c>
      <c r="R453">
        <v>3</v>
      </c>
      <c r="T453" s="13">
        <f t="shared" si="9"/>
        <v>5</v>
      </c>
      <c r="U453" t="s">
        <v>144</v>
      </c>
    </row>
    <row r="454" spans="1:22" x14ac:dyDescent="0.3">
      <c r="A454">
        <v>7</v>
      </c>
      <c r="B454">
        <v>4</v>
      </c>
      <c r="C454">
        <v>207863</v>
      </c>
      <c r="D454" t="s">
        <v>22</v>
      </c>
      <c r="E454" s="10">
        <v>44094</v>
      </c>
      <c r="F454" t="s">
        <v>23</v>
      </c>
      <c r="G454" s="3" t="s">
        <v>48</v>
      </c>
      <c r="H454" t="s">
        <v>150</v>
      </c>
      <c r="Q454">
        <v>3</v>
      </c>
      <c r="T454" s="13">
        <f t="shared" si="9"/>
        <v>3</v>
      </c>
      <c r="U454" t="s">
        <v>144</v>
      </c>
    </row>
    <row r="455" spans="1:22" x14ac:dyDescent="0.3">
      <c r="A455">
        <v>7</v>
      </c>
      <c r="B455">
        <v>4</v>
      </c>
      <c r="C455">
        <v>207863</v>
      </c>
      <c r="D455" t="s">
        <v>22</v>
      </c>
      <c r="E455" s="10">
        <v>44094</v>
      </c>
      <c r="F455" t="s">
        <v>23</v>
      </c>
      <c r="G455" s="3" t="s">
        <v>48</v>
      </c>
      <c r="H455" t="s">
        <v>30</v>
      </c>
      <c r="I455">
        <v>5</v>
      </c>
      <c r="J455">
        <v>8</v>
      </c>
      <c r="T455" s="13">
        <f t="shared" si="9"/>
        <v>13</v>
      </c>
      <c r="U455" t="s">
        <v>144</v>
      </c>
    </row>
    <row r="456" spans="1:22" x14ac:dyDescent="0.3">
      <c r="A456">
        <v>7</v>
      </c>
      <c r="B456">
        <v>4</v>
      </c>
      <c r="C456">
        <v>207863</v>
      </c>
      <c r="D456" t="s">
        <v>22</v>
      </c>
      <c r="E456" s="10">
        <v>44094</v>
      </c>
      <c r="F456" t="s">
        <v>23</v>
      </c>
      <c r="G456" s="3" t="s">
        <v>48</v>
      </c>
      <c r="H456" t="s">
        <v>37</v>
      </c>
      <c r="O456">
        <v>5</v>
      </c>
      <c r="P456">
        <v>9</v>
      </c>
      <c r="Q456">
        <v>13</v>
      </c>
      <c r="R456">
        <v>5</v>
      </c>
      <c r="T456" s="13">
        <f t="shared" si="9"/>
        <v>32</v>
      </c>
      <c r="U456" t="s">
        <v>144</v>
      </c>
    </row>
    <row r="457" spans="1:22" x14ac:dyDescent="0.3">
      <c r="A457">
        <v>7</v>
      </c>
      <c r="B457">
        <v>4</v>
      </c>
      <c r="C457">
        <v>207863</v>
      </c>
      <c r="D457" t="s">
        <v>22</v>
      </c>
      <c r="E457" s="10">
        <v>44094</v>
      </c>
      <c r="F457" t="s">
        <v>23</v>
      </c>
      <c r="G457" s="3" t="s">
        <v>48</v>
      </c>
      <c r="H457" t="s">
        <v>32</v>
      </c>
      <c r="O457">
        <v>9</v>
      </c>
      <c r="T457" s="13">
        <f t="shared" si="9"/>
        <v>9</v>
      </c>
      <c r="U457" t="s">
        <v>144</v>
      </c>
    </row>
    <row r="458" spans="1:22" x14ac:dyDescent="0.3">
      <c r="A458">
        <v>7</v>
      </c>
      <c r="B458">
        <v>4</v>
      </c>
      <c r="C458">
        <v>207863</v>
      </c>
      <c r="D458" t="s">
        <v>22</v>
      </c>
      <c r="E458" s="10">
        <v>44094</v>
      </c>
      <c r="F458" t="s">
        <v>23</v>
      </c>
      <c r="G458" s="3" t="s">
        <v>48</v>
      </c>
      <c r="H458" t="s">
        <v>39</v>
      </c>
      <c r="Q458">
        <v>3</v>
      </c>
      <c r="R458">
        <v>1</v>
      </c>
      <c r="T458" s="13">
        <f t="shared" si="9"/>
        <v>4</v>
      </c>
      <c r="U458" t="s">
        <v>144</v>
      </c>
    </row>
    <row r="459" spans="1:22" x14ac:dyDescent="0.3">
      <c r="A459">
        <v>7</v>
      </c>
      <c r="B459">
        <v>4</v>
      </c>
      <c r="C459">
        <v>207863</v>
      </c>
      <c r="D459" t="s">
        <v>22</v>
      </c>
      <c r="E459" s="10">
        <v>44094</v>
      </c>
      <c r="F459" t="s">
        <v>23</v>
      </c>
      <c r="G459" s="3" t="s">
        <v>48</v>
      </c>
      <c r="H459" t="s">
        <v>38</v>
      </c>
      <c r="P459">
        <v>9</v>
      </c>
      <c r="Q459">
        <v>12</v>
      </c>
      <c r="R459">
        <v>6</v>
      </c>
      <c r="T459" s="13">
        <f t="shared" si="9"/>
        <v>27</v>
      </c>
      <c r="U459" t="s">
        <v>144</v>
      </c>
    </row>
    <row r="460" spans="1:22" x14ac:dyDescent="0.3">
      <c r="A460">
        <v>7</v>
      </c>
      <c r="B460">
        <v>4</v>
      </c>
      <c r="C460">
        <v>207863</v>
      </c>
      <c r="D460" t="s">
        <v>22</v>
      </c>
      <c r="E460" s="10">
        <v>44094</v>
      </c>
      <c r="F460" t="s">
        <v>23</v>
      </c>
      <c r="G460" s="3" t="s">
        <v>48</v>
      </c>
      <c r="H460" t="s">
        <v>45</v>
      </c>
      <c r="I460">
        <v>3</v>
      </c>
      <c r="K460">
        <v>7</v>
      </c>
      <c r="T460" s="13">
        <f t="shared" si="9"/>
        <v>10</v>
      </c>
      <c r="U460" t="s">
        <v>144</v>
      </c>
    </row>
    <row r="461" spans="1:22" x14ac:dyDescent="0.3">
      <c r="A461">
        <v>7</v>
      </c>
      <c r="B461">
        <v>4</v>
      </c>
      <c r="C461">
        <v>207863</v>
      </c>
      <c r="D461" t="s">
        <v>22</v>
      </c>
      <c r="E461" s="10">
        <v>44094</v>
      </c>
      <c r="F461" t="s">
        <v>23</v>
      </c>
      <c r="G461" s="3" t="s">
        <v>48</v>
      </c>
      <c r="H461" t="s">
        <v>46</v>
      </c>
      <c r="Q461">
        <v>49</v>
      </c>
      <c r="T461" s="13">
        <f t="shared" si="9"/>
        <v>49</v>
      </c>
      <c r="U461" t="s">
        <v>144</v>
      </c>
    </row>
    <row r="462" spans="1:22" x14ac:dyDescent="0.3">
      <c r="A462">
        <v>7</v>
      </c>
      <c r="B462">
        <v>4</v>
      </c>
      <c r="C462">
        <v>207863</v>
      </c>
      <c r="D462" t="s">
        <v>22</v>
      </c>
      <c r="E462" s="10">
        <v>44094</v>
      </c>
      <c r="F462" t="s">
        <v>23</v>
      </c>
      <c r="G462" s="3" t="s">
        <v>48</v>
      </c>
      <c r="H462" t="s">
        <v>74</v>
      </c>
      <c r="Q462">
        <v>1</v>
      </c>
      <c r="T462" s="13">
        <f t="shared" si="9"/>
        <v>1</v>
      </c>
      <c r="U462" t="s">
        <v>144</v>
      </c>
    </row>
    <row r="463" spans="1:22" x14ac:dyDescent="0.3">
      <c r="A463">
        <v>7</v>
      </c>
      <c r="B463">
        <v>4</v>
      </c>
      <c r="C463">
        <v>207863</v>
      </c>
      <c r="D463" t="s">
        <v>22</v>
      </c>
      <c r="E463" s="10">
        <v>44094</v>
      </c>
      <c r="F463" t="s">
        <v>23</v>
      </c>
      <c r="G463" s="3" t="s">
        <v>48</v>
      </c>
      <c r="H463" t="s">
        <v>163</v>
      </c>
      <c r="S463">
        <v>2</v>
      </c>
      <c r="T463" s="13">
        <f t="shared" si="9"/>
        <v>2</v>
      </c>
      <c r="U463" t="s">
        <v>144</v>
      </c>
    </row>
    <row r="464" spans="1:22" x14ac:dyDescent="0.3">
      <c r="A464">
        <v>7</v>
      </c>
      <c r="B464">
        <v>4</v>
      </c>
      <c r="C464">
        <v>207863</v>
      </c>
      <c r="D464" t="s">
        <v>22</v>
      </c>
      <c r="E464" s="10">
        <v>44094</v>
      </c>
      <c r="F464" t="s">
        <v>23</v>
      </c>
      <c r="G464" s="3" t="s">
        <v>48</v>
      </c>
      <c r="H464" t="s">
        <v>55</v>
      </c>
      <c r="S464">
        <v>3</v>
      </c>
      <c r="T464" s="13">
        <f t="shared" si="9"/>
        <v>3</v>
      </c>
      <c r="U464" t="s">
        <v>144</v>
      </c>
    </row>
    <row r="465" spans="1:22" x14ac:dyDescent="0.3">
      <c r="A465">
        <v>7</v>
      </c>
      <c r="B465">
        <v>4</v>
      </c>
      <c r="C465">
        <v>207863</v>
      </c>
      <c r="D465" t="s">
        <v>22</v>
      </c>
      <c r="E465" s="10">
        <v>44094</v>
      </c>
      <c r="F465" t="s">
        <v>23</v>
      </c>
      <c r="G465" s="3" t="s">
        <v>48</v>
      </c>
      <c r="H465" t="s">
        <v>51</v>
      </c>
      <c r="S465">
        <v>6</v>
      </c>
      <c r="T465" s="13">
        <f t="shared" si="9"/>
        <v>6</v>
      </c>
      <c r="U465" t="s">
        <v>144</v>
      </c>
    </row>
    <row r="466" spans="1:22" x14ac:dyDescent="0.3">
      <c r="A466">
        <v>7</v>
      </c>
      <c r="B466">
        <v>4</v>
      </c>
      <c r="C466">
        <v>207863</v>
      </c>
      <c r="D466" t="s">
        <v>22</v>
      </c>
      <c r="E466" s="10">
        <v>44094</v>
      </c>
      <c r="F466" t="s">
        <v>23</v>
      </c>
      <c r="G466" s="3" t="s">
        <v>48</v>
      </c>
      <c r="H466" t="s">
        <v>41</v>
      </c>
      <c r="S466">
        <v>4</v>
      </c>
      <c r="T466" s="13">
        <f t="shared" si="9"/>
        <v>4</v>
      </c>
      <c r="U466" t="s">
        <v>144</v>
      </c>
    </row>
    <row r="467" spans="1:22" x14ac:dyDescent="0.3">
      <c r="A467">
        <v>7</v>
      </c>
      <c r="B467">
        <v>4</v>
      </c>
      <c r="C467">
        <v>207863</v>
      </c>
      <c r="D467" t="s">
        <v>22</v>
      </c>
      <c r="E467" s="10">
        <v>44094</v>
      </c>
      <c r="F467" t="s">
        <v>23</v>
      </c>
      <c r="G467" s="3" t="s">
        <v>48</v>
      </c>
      <c r="H467" t="s">
        <v>57</v>
      </c>
      <c r="S467">
        <v>7</v>
      </c>
      <c r="T467" s="13">
        <f t="shared" si="9"/>
        <v>7</v>
      </c>
      <c r="U467" t="s">
        <v>144</v>
      </c>
    </row>
    <row r="468" spans="1:22" x14ac:dyDescent="0.3">
      <c r="A468">
        <v>7</v>
      </c>
      <c r="B468">
        <v>4</v>
      </c>
      <c r="C468">
        <v>207863</v>
      </c>
      <c r="D468" t="s">
        <v>22</v>
      </c>
      <c r="E468" s="10">
        <v>44094</v>
      </c>
      <c r="F468" t="s">
        <v>23</v>
      </c>
      <c r="G468" s="3" t="s">
        <v>48</v>
      </c>
      <c r="H468" t="s">
        <v>56</v>
      </c>
      <c r="S468">
        <v>3</v>
      </c>
      <c r="T468" s="13">
        <f t="shared" si="9"/>
        <v>3</v>
      </c>
      <c r="U468" t="s">
        <v>144</v>
      </c>
    </row>
    <row r="469" spans="1:22" x14ac:dyDescent="0.3">
      <c r="A469">
        <v>7</v>
      </c>
      <c r="B469">
        <v>4</v>
      </c>
      <c r="C469">
        <v>207863</v>
      </c>
      <c r="D469" t="s">
        <v>22</v>
      </c>
      <c r="E469" s="10">
        <v>44094</v>
      </c>
      <c r="F469" t="s">
        <v>23</v>
      </c>
      <c r="G469" s="3" t="s">
        <v>48</v>
      </c>
      <c r="H469" t="s">
        <v>49</v>
      </c>
      <c r="S469">
        <v>2</v>
      </c>
      <c r="T469" s="13">
        <f t="shared" si="9"/>
        <v>2</v>
      </c>
      <c r="U469" t="s">
        <v>144</v>
      </c>
    </row>
    <row r="470" spans="1:22" s="5" customFormat="1" ht="16.2" thickBot="1" x14ac:dyDescent="0.35">
      <c r="A470" s="5">
        <v>7</v>
      </c>
      <c r="B470" s="5">
        <v>4</v>
      </c>
      <c r="C470" s="5">
        <v>207863</v>
      </c>
      <c r="D470" s="5" t="s">
        <v>22</v>
      </c>
      <c r="E470" s="11">
        <v>44094</v>
      </c>
      <c r="F470" s="5" t="s">
        <v>23</v>
      </c>
      <c r="G470" s="6" t="s">
        <v>48</v>
      </c>
      <c r="H470" s="5" t="s">
        <v>50</v>
      </c>
      <c r="S470" s="5">
        <v>3</v>
      </c>
      <c r="T470" s="12">
        <f t="shared" si="9"/>
        <v>3</v>
      </c>
      <c r="U470" s="5" t="s">
        <v>144</v>
      </c>
      <c r="V470" s="14"/>
    </row>
    <row r="471" spans="1:22" x14ac:dyDescent="0.3">
      <c r="A471">
        <v>7</v>
      </c>
      <c r="B471">
        <v>5</v>
      </c>
      <c r="C471">
        <v>207864</v>
      </c>
      <c r="D471" t="s">
        <v>22</v>
      </c>
      <c r="E471" s="10">
        <v>44094</v>
      </c>
      <c r="F471" t="s">
        <v>23</v>
      </c>
      <c r="G471" s="3" t="s">
        <v>28</v>
      </c>
      <c r="H471" t="s">
        <v>25</v>
      </c>
      <c r="I471">
        <v>1</v>
      </c>
      <c r="N471">
        <v>2</v>
      </c>
      <c r="O471">
        <v>1</v>
      </c>
      <c r="P471">
        <v>1</v>
      </c>
      <c r="T471" s="13">
        <f t="shared" si="9"/>
        <v>5</v>
      </c>
      <c r="U471" t="s">
        <v>144</v>
      </c>
      <c r="V471" s="15" t="s">
        <v>237</v>
      </c>
    </row>
    <row r="472" spans="1:22" x14ac:dyDescent="0.3">
      <c r="A472">
        <v>7</v>
      </c>
      <c r="B472">
        <v>5</v>
      </c>
      <c r="C472">
        <v>207864</v>
      </c>
      <c r="D472" t="s">
        <v>22</v>
      </c>
      <c r="E472" s="10">
        <v>44094</v>
      </c>
      <c r="F472" t="s">
        <v>23</v>
      </c>
      <c r="G472" s="3" t="s">
        <v>149</v>
      </c>
      <c r="H472" t="s">
        <v>44</v>
      </c>
      <c r="M472">
        <v>3</v>
      </c>
      <c r="N472">
        <v>4</v>
      </c>
      <c r="T472" s="13">
        <f t="shared" si="9"/>
        <v>7</v>
      </c>
      <c r="U472" t="s">
        <v>144</v>
      </c>
    </row>
    <row r="473" spans="1:22" x14ac:dyDescent="0.3">
      <c r="A473">
        <v>7</v>
      </c>
      <c r="B473">
        <v>5</v>
      </c>
      <c r="C473">
        <v>207864</v>
      </c>
      <c r="D473" t="s">
        <v>22</v>
      </c>
      <c r="E473" s="10">
        <v>44094</v>
      </c>
      <c r="F473" t="s">
        <v>23</v>
      </c>
      <c r="G473" s="3" t="s">
        <v>149</v>
      </c>
      <c r="H473" t="s">
        <v>71</v>
      </c>
      <c r="Q473">
        <v>5</v>
      </c>
      <c r="R473">
        <v>1</v>
      </c>
      <c r="T473" s="13">
        <f t="shared" si="9"/>
        <v>6</v>
      </c>
      <c r="U473" t="s">
        <v>144</v>
      </c>
    </row>
    <row r="474" spans="1:22" x14ac:dyDescent="0.3">
      <c r="A474">
        <v>7</v>
      </c>
      <c r="B474">
        <v>5</v>
      </c>
      <c r="C474">
        <v>207864</v>
      </c>
      <c r="D474" t="s">
        <v>22</v>
      </c>
      <c r="E474" s="10">
        <v>44094</v>
      </c>
      <c r="F474" t="s">
        <v>23</v>
      </c>
      <c r="G474" s="3" t="s">
        <v>149</v>
      </c>
      <c r="H474" t="s">
        <v>30</v>
      </c>
      <c r="I474">
        <v>6</v>
      </c>
      <c r="J474">
        <v>19</v>
      </c>
      <c r="T474" s="13">
        <f t="shared" si="9"/>
        <v>25</v>
      </c>
      <c r="U474" t="s">
        <v>144</v>
      </c>
    </row>
    <row r="475" spans="1:22" x14ac:dyDescent="0.3">
      <c r="A475">
        <v>7</v>
      </c>
      <c r="B475">
        <v>5</v>
      </c>
      <c r="C475">
        <v>207864</v>
      </c>
      <c r="D475" t="s">
        <v>22</v>
      </c>
      <c r="E475" s="10">
        <v>44094</v>
      </c>
      <c r="F475" t="s">
        <v>23</v>
      </c>
      <c r="G475" s="3" t="s">
        <v>149</v>
      </c>
      <c r="H475" t="s">
        <v>32</v>
      </c>
      <c r="O475">
        <v>6</v>
      </c>
      <c r="T475" s="13">
        <f t="shared" si="9"/>
        <v>6</v>
      </c>
      <c r="U475" t="s">
        <v>144</v>
      </c>
    </row>
    <row r="476" spans="1:22" x14ac:dyDescent="0.3">
      <c r="A476">
        <v>7</v>
      </c>
      <c r="B476">
        <v>5</v>
      </c>
      <c r="C476">
        <v>207864</v>
      </c>
      <c r="D476" t="s">
        <v>22</v>
      </c>
      <c r="E476" s="10">
        <v>44094</v>
      </c>
      <c r="F476" t="s">
        <v>23</v>
      </c>
      <c r="G476" s="3" t="s">
        <v>149</v>
      </c>
      <c r="H476" t="s">
        <v>33</v>
      </c>
      <c r="O476">
        <v>12</v>
      </c>
      <c r="P476">
        <v>5</v>
      </c>
      <c r="Q476">
        <v>11</v>
      </c>
      <c r="R476">
        <v>7</v>
      </c>
      <c r="T476" s="13">
        <f t="shared" si="9"/>
        <v>35</v>
      </c>
      <c r="U476" t="s">
        <v>144</v>
      </c>
    </row>
    <row r="477" spans="1:22" x14ac:dyDescent="0.3">
      <c r="A477">
        <v>7</v>
      </c>
      <c r="B477">
        <v>5</v>
      </c>
      <c r="C477">
        <v>207864</v>
      </c>
      <c r="D477" t="s">
        <v>22</v>
      </c>
      <c r="E477" s="10">
        <v>44094</v>
      </c>
      <c r="F477" t="s">
        <v>23</v>
      </c>
      <c r="G477" s="3" t="s">
        <v>149</v>
      </c>
      <c r="H477" t="s">
        <v>37</v>
      </c>
      <c r="P477">
        <v>4</v>
      </c>
      <c r="Q477">
        <v>9</v>
      </c>
      <c r="R477">
        <v>3</v>
      </c>
      <c r="T477" s="13">
        <f t="shared" si="9"/>
        <v>16</v>
      </c>
      <c r="U477" t="s">
        <v>144</v>
      </c>
    </row>
    <row r="478" spans="1:22" x14ac:dyDescent="0.3">
      <c r="A478">
        <v>7</v>
      </c>
      <c r="B478">
        <v>5</v>
      </c>
      <c r="C478">
        <v>207864</v>
      </c>
      <c r="D478" t="s">
        <v>22</v>
      </c>
      <c r="E478" s="10">
        <v>44094</v>
      </c>
      <c r="F478" t="s">
        <v>23</v>
      </c>
      <c r="G478" s="3" t="s">
        <v>149</v>
      </c>
      <c r="H478" t="s">
        <v>31</v>
      </c>
      <c r="Q478">
        <v>2</v>
      </c>
      <c r="T478" s="13">
        <f t="shared" si="9"/>
        <v>2</v>
      </c>
      <c r="U478" t="s">
        <v>144</v>
      </c>
    </row>
    <row r="479" spans="1:22" x14ac:dyDescent="0.3">
      <c r="A479">
        <v>7</v>
      </c>
      <c r="B479">
        <v>5</v>
      </c>
      <c r="C479">
        <v>207864</v>
      </c>
      <c r="D479" t="s">
        <v>22</v>
      </c>
      <c r="E479" s="10">
        <v>44094</v>
      </c>
      <c r="F479" t="s">
        <v>23</v>
      </c>
      <c r="G479" s="3" t="s">
        <v>149</v>
      </c>
      <c r="H479" t="s">
        <v>38</v>
      </c>
      <c r="P479">
        <v>13</v>
      </c>
      <c r="Q479">
        <v>14</v>
      </c>
      <c r="R479">
        <v>12</v>
      </c>
      <c r="T479" s="13">
        <f t="shared" si="9"/>
        <v>39</v>
      </c>
      <c r="U479" t="s">
        <v>144</v>
      </c>
    </row>
    <row r="480" spans="1:22" x14ac:dyDescent="0.3">
      <c r="A480">
        <v>7</v>
      </c>
      <c r="B480">
        <v>5</v>
      </c>
      <c r="C480">
        <v>207864</v>
      </c>
      <c r="D480" t="s">
        <v>22</v>
      </c>
      <c r="E480" s="10">
        <v>44094</v>
      </c>
      <c r="F480" t="s">
        <v>23</v>
      </c>
      <c r="G480" s="3" t="s">
        <v>149</v>
      </c>
      <c r="H480" t="s">
        <v>150</v>
      </c>
      <c r="Q480">
        <v>2</v>
      </c>
      <c r="R480">
        <v>2</v>
      </c>
      <c r="T480" s="13">
        <f t="shared" si="9"/>
        <v>4</v>
      </c>
      <c r="U480" t="s">
        <v>144</v>
      </c>
    </row>
    <row r="481" spans="1:22" x14ac:dyDescent="0.3">
      <c r="A481">
        <v>7</v>
      </c>
      <c r="B481">
        <v>5</v>
      </c>
      <c r="C481">
        <v>207864</v>
      </c>
      <c r="D481" t="s">
        <v>22</v>
      </c>
      <c r="E481" s="10">
        <v>44094</v>
      </c>
      <c r="F481" t="s">
        <v>23</v>
      </c>
      <c r="G481" s="3" t="s">
        <v>149</v>
      </c>
      <c r="H481" t="s">
        <v>235</v>
      </c>
      <c r="I481">
        <v>1</v>
      </c>
      <c r="T481" s="13">
        <f t="shared" si="9"/>
        <v>1</v>
      </c>
      <c r="U481" t="s">
        <v>144</v>
      </c>
    </row>
    <row r="482" spans="1:22" x14ac:dyDescent="0.3">
      <c r="A482">
        <v>7</v>
      </c>
      <c r="B482">
        <v>5</v>
      </c>
      <c r="C482">
        <v>207864</v>
      </c>
      <c r="D482" t="s">
        <v>22</v>
      </c>
      <c r="E482" s="10">
        <v>44094</v>
      </c>
      <c r="F482" t="s">
        <v>23</v>
      </c>
      <c r="G482" s="3" t="s">
        <v>149</v>
      </c>
      <c r="H482" t="s">
        <v>51</v>
      </c>
      <c r="S482">
        <v>3</v>
      </c>
      <c r="T482" s="13">
        <f t="shared" si="9"/>
        <v>3</v>
      </c>
      <c r="U482" t="s">
        <v>144</v>
      </c>
    </row>
    <row r="483" spans="1:22" x14ac:dyDescent="0.3">
      <c r="A483">
        <v>7</v>
      </c>
      <c r="B483">
        <v>5</v>
      </c>
      <c r="C483">
        <v>207864</v>
      </c>
      <c r="D483" t="s">
        <v>22</v>
      </c>
      <c r="E483" s="10">
        <v>44094</v>
      </c>
      <c r="F483" t="s">
        <v>23</v>
      </c>
      <c r="G483" s="3" t="s">
        <v>149</v>
      </c>
      <c r="H483" t="s">
        <v>41</v>
      </c>
      <c r="S483">
        <v>3</v>
      </c>
      <c r="T483" s="13">
        <f t="shared" si="9"/>
        <v>3</v>
      </c>
      <c r="U483" t="s">
        <v>144</v>
      </c>
    </row>
    <row r="484" spans="1:22" x14ac:dyDescent="0.3">
      <c r="A484">
        <v>7</v>
      </c>
      <c r="B484">
        <v>5</v>
      </c>
      <c r="C484">
        <v>207864</v>
      </c>
      <c r="D484" t="s">
        <v>22</v>
      </c>
      <c r="E484" s="10">
        <v>44094</v>
      </c>
      <c r="F484" t="s">
        <v>23</v>
      </c>
      <c r="G484" s="3" t="s">
        <v>149</v>
      </c>
      <c r="H484" t="s">
        <v>55</v>
      </c>
      <c r="S484">
        <v>1</v>
      </c>
      <c r="T484" s="13">
        <f t="shared" si="9"/>
        <v>1</v>
      </c>
      <c r="U484" t="s">
        <v>144</v>
      </c>
    </row>
    <row r="485" spans="1:22" x14ac:dyDescent="0.3">
      <c r="A485">
        <v>7</v>
      </c>
      <c r="B485">
        <v>5</v>
      </c>
      <c r="C485">
        <v>207864</v>
      </c>
      <c r="D485" t="s">
        <v>22</v>
      </c>
      <c r="E485" s="10">
        <v>44094</v>
      </c>
      <c r="F485" t="s">
        <v>23</v>
      </c>
      <c r="G485" s="3" t="s">
        <v>149</v>
      </c>
      <c r="H485" t="s">
        <v>163</v>
      </c>
      <c r="S485">
        <v>2</v>
      </c>
      <c r="T485" s="13">
        <f t="shared" si="9"/>
        <v>2</v>
      </c>
      <c r="U485" t="s">
        <v>144</v>
      </c>
      <c r="V485" s="15" t="s">
        <v>232</v>
      </c>
    </row>
    <row r="486" spans="1:22" x14ac:dyDescent="0.3">
      <c r="A486">
        <v>7</v>
      </c>
      <c r="B486">
        <v>5</v>
      </c>
      <c r="C486">
        <v>207864</v>
      </c>
      <c r="D486" t="s">
        <v>22</v>
      </c>
      <c r="E486" s="10">
        <v>44094</v>
      </c>
      <c r="F486" t="s">
        <v>23</v>
      </c>
      <c r="G486" s="3" t="s">
        <v>149</v>
      </c>
      <c r="H486" t="s">
        <v>79</v>
      </c>
      <c r="S486">
        <v>1</v>
      </c>
      <c r="T486" s="13">
        <f t="shared" si="9"/>
        <v>1</v>
      </c>
      <c r="U486" t="s">
        <v>144</v>
      </c>
    </row>
    <row r="487" spans="1:22" x14ac:dyDescent="0.3">
      <c r="A487">
        <v>7</v>
      </c>
      <c r="B487">
        <v>5</v>
      </c>
      <c r="C487">
        <v>207864</v>
      </c>
      <c r="D487" t="s">
        <v>22</v>
      </c>
      <c r="E487" s="10">
        <v>44094</v>
      </c>
      <c r="F487" t="s">
        <v>23</v>
      </c>
      <c r="G487" s="3" t="s">
        <v>149</v>
      </c>
      <c r="H487" t="s">
        <v>56</v>
      </c>
      <c r="S487">
        <v>6</v>
      </c>
      <c r="T487" s="13">
        <f t="shared" si="9"/>
        <v>6</v>
      </c>
      <c r="U487" t="s">
        <v>144</v>
      </c>
    </row>
    <row r="488" spans="1:22" x14ac:dyDescent="0.3">
      <c r="A488">
        <v>7</v>
      </c>
      <c r="B488">
        <v>5</v>
      </c>
      <c r="C488">
        <v>207864</v>
      </c>
      <c r="D488" t="s">
        <v>22</v>
      </c>
      <c r="E488" s="10">
        <v>44094</v>
      </c>
      <c r="F488" t="s">
        <v>23</v>
      </c>
      <c r="G488" s="3" t="s">
        <v>149</v>
      </c>
      <c r="H488" t="s">
        <v>57</v>
      </c>
      <c r="S488">
        <v>2</v>
      </c>
      <c r="T488" s="13">
        <f t="shared" si="9"/>
        <v>2</v>
      </c>
      <c r="U488" t="s">
        <v>144</v>
      </c>
    </row>
    <row r="489" spans="1:22" x14ac:dyDescent="0.3">
      <c r="A489">
        <v>7</v>
      </c>
      <c r="B489">
        <v>5</v>
      </c>
      <c r="C489">
        <v>207864</v>
      </c>
      <c r="D489" t="s">
        <v>22</v>
      </c>
      <c r="E489" s="10">
        <v>44094</v>
      </c>
      <c r="F489" t="s">
        <v>23</v>
      </c>
      <c r="G489" s="3" t="s">
        <v>149</v>
      </c>
      <c r="H489" t="s">
        <v>50</v>
      </c>
      <c r="S489">
        <v>1</v>
      </c>
      <c r="T489" s="13">
        <f t="shared" si="9"/>
        <v>1</v>
      </c>
      <c r="U489" t="s">
        <v>144</v>
      </c>
    </row>
    <row r="490" spans="1:22" x14ac:dyDescent="0.3">
      <c r="A490">
        <v>7</v>
      </c>
      <c r="B490">
        <v>5</v>
      </c>
      <c r="C490">
        <v>207864</v>
      </c>
      <c r="D490" t="s">
        <v>22</v>
      </c>
      <c r="E490" s="10">
        <v>44094</v>
      </c>
      <c r="F490" t="s">
        <v>23</v>
      </c>
      <c r="G490" s="3" t="s">
        <v>149</v>
      </c>
      <c r="H490" t="s">
        <v>49</v>
      </c>
      <c r="S490">
        <v>2</v>
      </c>
      <c r="T490" s="13">
        <f t="shared" si="9"/>
        <v>2</v>
      </c>
      <c r="U490" t="s">
        <v>144</v>
      </c>
    </row>
    <row r="491" spans="1:22" x14ac:dyDescent="0.3">
      <c r="A491">
        <v>7</v>
      </c>
      <c r="B491">
        <v>5</v>
      </c>
      <c r="C491">
        <v>207864</v>
      </c>
      <c r="D491" t="s">
        <v>22</v>
      </c>
      <c r="E491" s="10">
        <v>44094</v>
      </c>
      <c r="F491" t="s">
        <v>23</v>
      </c>
      <c r="G491" s="3" t="s">
        <v>149</v>
      </c>
      <c r="H491" t="s">
        <v>45</v>
      </c>
      <c r="I491">
        <v>1</v>
      </c>
      <c r="K491">
        <v>15</v>
      </c>
      <c r="T491" s="13">
        <f t="shared" si="9"/>
        <v>16</v>
      </c>
      <c r="U491" t="s">
        <v>144</v>
      </c>
    </row>
    <row r="492" spans="1:22" x14ac:dyDescent="0.3">
      <c r="A492">
        <v>7</v>
      </c>
      <c r="B492">
        <v>5</v>
      </c>
      <c r="C492">
        <v>207864</v>
      </c>
      <c r="D492" t="s">
        <v>22</v>
      </c>
      <c r="E492" s="10">
        <v>44094</v>
      </c>
      <c r="F492" t="s">
        <v>23</v>
      </c>
      <c r="G492" s="3" t="s">
        <v>149</v>
      </c>
      <c r="H492" t="s">
        <v>46</v>
      </c>
      <c r="Q492">
        <v>53</v>
      </c>
      <c r="T492" s="13">
        <f t="shared" si="9"/>
        <v>53</v>
      </c>
      <c r="U492" t="s">
        <v>144</v>
      </c>
    </row>
    <row r="493" spans="1:22" s="5" customFormat="1" ht="16.2" thickBot="1" x14ac:dyDescent="0.35">
      <c r="A493" s="5">
        <v>7</v>
      </c>
      <c r="B493" s="5">
        <v>5</v>
      </c>
      <c r="C493" s="5">
        <v>207864</v>
      </c>
      <c r="D493" s="5" t="s">
        <v>22</v>
      </c>
      <c r="E493" s="11">
        <v>44094</v>
      </c>
      <c r="F493" s="5" t="s">
        <v>23</v>
      </c>
      <c r="G493" s="6" t="s">
        <v>149</v>
      </c>
      <c r="H493" s="5" t="s">
        <v>233</v>
      </c>
      <c r="K493" s="5">
        <v>1</v>
      </c>
      <c r="T493" s="12">
        <f t="shared" si="9"/>
        <v>1</v>
      </c>
      <c r="U493" s="5" t="s">
        <v>144</v>
      </c>
      <c r="V493" s="14" t="s">
        <v>234</v>
      </c>
    </row>
    <row r="494" spans="1:22" x14ac:dyDescent="0.3">
      <c r="A494">
        <v>9</v>
      </c>
      <c r="B494">
        <v>1</v>
      </c>
      <c r="C494">
        <v>207865</v>
      </c>
      <c r="D494" t="s">
        <v>22</v>
      </c>
      <c r="E494" s="10">
        <v>44094</v>
      </c>
      <c r="F494" t="s">
        <v>23</v>
      </c>
      <c r="G494" s="3" t="s">
        <v>24</v>
      </c>
      <c r="H494" t="s">
        <v>25</v>
      </c>
      <c r="M494">
        <v>1</v>
      </c>
      <c r="N494">
        <v>3</v>
      </c>
      <c r="O494">
        <v>17</v>
      </c>
      <c r="P494">
        <v>47</v>
      </c>
      <c r="Q494">
        <v>9</v>
      </c>
      <c r="T494" s="13">
        <f t="shared" si="9"/>
        <v>77</v>
      </c>
      <c r="U494" t="s">
        <v>26</v>
      </c>
    </row>
    <row r="495" spans="1:22" x14ac:dyDescent="0.3">
      <c r="A495">
        <v>9</v>
      </c>
      <c r="B495">
        <v>1</v>
      </c>
      <c r="C495">
        <v>207865</v>
      </c>
      <c r="D495" t="s">
        <v>22</v>
      </c>
      <c r="E495" s="10">
        <v>44094</v>
      </c>
      <c r="F495" t="s">
        <v>23</v>
      </c>
      <c r="G495" s="3" t="s">
        <v>24</v>
      </c>
      <c r="H495" t="s">
        <v>27</v>
      </c>
      <c r="P495">
        <v>2</v>
      </c>
      <c r="T495" s="13">
        <f t="shared" si="9"/>
        <v>2</v>
      </c>
      <c r="U495" t="s">
        <v>26</v>
      </c>
    </row>
    <row r="496" spans="1:22" x14ac:dyDescent="0.3">
      <c r="A496">
        <v>9</v>
      </c>
      <c r="B496">
        <v>1</v>
      </c>
      <c r="C496">
        <v>207865</v>
      </c>
      <c r="D496" t="s">
        <v>22</v>
      </c>
      <c r="E496" s="10">
        <v>44094</v>
      </c>
      <c r="F496" t="s">
        <v>23</v>
      </c>
      <c r="G496" s="3" t="s">
        <v>28</v>
      </c>
      <c r="H496" t="s">
        <v>29</v>
      </c>
      <c r="S496">
        <v>1</v>
      </c>
      <c r="T496" s="13">
        <f t="shared" si="9"/>
        <v>1</v>
      </c>
      <c r="U496" t="s">
        <v>26</v>
      </c>
    </row>
    <row r="497" spans="1:22" x14ac:dyDescent="0.3">
      <c r="A497">
        <v>9</v>
      </c>
      <c r="B497">
        <v>1</v>
      </c>
      <c r="C497">
        <v>207865</v>
      </c>
      <c r="D497" t="s">
        <v>22</v>
      </c>
      <c r="E497" s="10">
        <v>44094</v>
      </c>
      <c r="F497" t="s">
        <v>23</v>
      </c>
      <c r="G497" s="3" t="s">
        <v>28</v>
      </c>
      <c r="H497" t="s">
        <v>30</v>
      </c>
      <c r="I497">
        <v>25</v>
      </c>
      <c r="J497">
        <v>9</v>
      </c>
      <c r="T497" s="13">
        <f t="shared" si="9"/>
        <v>34</v>
      </c>
      <c r="U497" t="s">
        <v>26</v>
      </c>
    </row>
    <row r="498" spans="1:22" x14ac:dyDescent="0.3">
      <c r="A498">
        <v>9</v>
      </c>
      <c r="B498">
        <v>1</v>
      </c>
      <c r="C498">
        <v>207865</v>
      </c>
      <c r="D498" t="s">
        <v>22</v>
      </c>
      <c r="E498" s="10">
        <v>44094</v>
      </c>
      <c r="F498" t="s">
        <v>23</v>
      </c>
      <c r="G498" s="3" t="s">
        <v>28</v>
      </c>
      <c r="H498" t="s">
        <v>31</v>
      </c>
      <c r="O498">
        <v>2</v>
      </c>
      <c r="P498">
        <v>6</v>
      </c>
      <c r="Q498">
        <v>10</v>
      </c>
      <c r="R498">
        <v>1</v>
      </c>
      <c r="T498" s="13">
        <f t="shared" si="9"/>
        <v>19</v>
      </c>
      <c r="U498" t="s">
        <v>26</v>
      </c>
    </row>
    <row r="499" spans="1:22" x14ac:dyDescent="0.3">
      <c r="A499">
        <v>9</v>
      </c>
      <c r="B499">
        <v>1</v>
      </c>
      <c r="C499">
        <v>207865</v>
      </c>
      <c r="D499" t="s">
        <v>22</v>
      </c>
      <c r="E499" s="10">
        <v>44094</v>
      </c>
      <c r="F499" t="s">
        <v>23</v>
      </c>
      <c r="G499" s="3" t="s">
        <v>28</v>
      </c>
      <c r="H499" t="s">
        <v>32</v>
      </c>
      <c r="O499">
        <v>7</v>
      </c>
      <c r="T499" s="13">
        <f t="shared" si="9"/>
        <v>7</v>
      </c>
      <c r="U499" t="s">
        <v>26</v>
      </c>
    </row>
    <row r="500" spans="1:22" x14ac:dyDescent="0.3">
      <c r="A500">
        <v>9</v>
      </c>
      <c r="B500">
        <v>1</v>
      </c>
      <c r="C500">
        <v>207865</v>
      </c>
      <c r="D500" t="s">
        <v>22</v>
      </c>
      <c r="E500" s="10">
        <v>44094</v>
      </c>
      <c r="F500" t="s">
        <v>23</v>
      </c>
      <c r="G500" s="3" t="s">
        <v>28</v>
      </c>
      <c r="H500" t="s">
        <v>33</v>
      </c>
      <c r="O500">
        <v>2</v>
      </c>
      <c r="P500">
        <v>1</v>
      </c>
      <c r="R500">
        <v>7</v>
      </c>
      <c r="T500" s="13">
        <f t="shared" si="9"/>
        <v>10</v>
      </c>
      <c r="U500" t="s">
        <v>26</v>
      </c>
    </row>
    <row r="501" spans="1:22" x14ac:dyDescent="0.3">
      <c r="A501">
        <v>9</v>
      </c>
      <c r="B501">
        <v>1</v>
      </c>
      <c r="C501">
        <v>207865</v>
      </c>
      <c r="D501" t="s">
        <v>22</v>
      </c>
      <c r="E501" s="10">
        <v>44094</v>
      </c>
      <c r="F501" t="s">
        <v>23</v>
      </c>
      <c r="G501" s="3" t="s">
        <v>28</v>
      </c>
      <c r="H501" t="s">
        <v>34</v>
      </c>
      <c r="P501">
        <v>2</v>
      </c>
      <c r="Q501">
        <v>5</v>
      </c>
      <c r="R501">
        <v>1</v>
      </c>
      <c r="T501" s="13">
        <f t="shared" si="9"/>
        <v>8</v>
      </c>
      <c r="U501" t="s">
        <v>26</v>
      </c>
    </row>
    <row r="502" spans="1:22" ht="31.2" x14ac:dyDescent="0.3">
      <c r="A502">
        <v>9</v>
      </c>
      <c r="B502">
        <v>1</v>
      </c>
      <c r="C502">
        <v>207865</v>
      </c>
      <c r="D502" t="s">
        <v>22</v>
      </c>
      <c r="E502" s="10">
        <v>44094</v>
      </c>
      <c r="F502" t="s">
        <v>23</v>
      </c>
      <c r="G502" s="3" t="s">
        <v>28</v>
      </c>
      <c r="H502" t="s">
        <v>35</v>
      </c>
      <c r="Q502">
        <v>2</v>
      </c>
      <c r="T502" s="13">
        <f t="shared" si="9"/>
        <v>2</v>
      </c>
      <c r="U502" t="s">
        <v>26</v>
      </c>
      <c r="V502" s="15" t="s">
        <v>36</v>
      </c>
    </row>
    <row r="503" spans="1:22" x14ac:dyDescent="0.3">
      <c r="A503">
        <v>9</v>
      </c>
      <c r="B503">
        <v>1</v>
      </c>
      <c r="C503">
        <v>207865</v>
      </c>
      <c r="D503" t="s">
        <v>22</v>
      </c>
      <c r="E503" s="10">
        <v>44094</v>
      </c>
      <c r="F503" t="s">
        <v>23</v>
      </c>
      <c r="G503" s="3" t="s">
        <v>28</v>
      </c>
      <c r="H503" t="s">
        <v>37</v>
      </c>
      <c r="P503">
        <v>4</v>
      </c>
      <c r="Q503">
        <v>6</v>
      </c>
      <c r="R503">
        <v>2</v>
      </c>
      <c r="T503" s="13">
        <f t="shared" si="9"/>
        <v>12</v>
      </c>
      <c r="U503" t="s">
        <v>26</v>
      </c>
    </row>
    <row r="504" spans="1:22" x14ac:dyDescent="0.3">
      <c r="A504">
        <v>9</v>
      </c>
      <c r="B504">
        <v>1</v>
      </c>
      <c r="C504">
        <v>207865</v>
      </c>
      <c r="D504" t="s">
        <v>22</v>
      </c>
      <c r="E504" s="10">
        <v>44094</v>
      </c>
      <c r="F504" t="s">
        <v>23</v>
      </c>
      <c r="G504" s="3" t="s">
        <v>28</v>
      </c>
      <c r="H504" t="s">
        <v>38</v>
      </c>
      <c r="P504">
        <v>9</v>
      </c>
      <c r="Q504">
        <v>25</v>
      </c>
      <c r="R504">
        <v>9</v>
      </c>
      <c r="T504" s="13">
        <f t="shared" ref="T504:T567" si="10">SUM(I504:S504)</f>
        <v>43</v>
      </c>
      <c r="U504" t="s">
        <v>26</v>
      </c>
    </row>
    <row r="505" spans="1:22" x14ac:dyDescent="0.3">
      <c r="A505">
        <v>9</v>
      </c>
      <c r="B505">
        <v>1</v>
      </c>
      <c r="C505">
        <v>207865</v>
      </c>
      <c r="D505" t="s">
        <v>22</v>
      </c>
      <c r="E505" s="10">
        <v>44094</v>
      </c>
      <c r="F505" t="s">
        <v>23</v>
      </c>
      <c r="G505" s="3" t="s">
        <v>28</v>
      </c>
      <c r="H505" t="s">
        <v>39</v>
      </c>
      <c r="Q505">
        <v>2</v>
      </c>
      <c r="T505" s="13">
        <f t="shared" si="10"/>
        <v>2</v>
      </c>
      <c r="U505" t="s">
        <v>26</v>
      </c>
    </row>
    <row r="506" spans="1:22" x14ac:dyDescent="0.3">
      <c r="A506">
        <v>9</v>
      </c>
      <c r="B506">
        <v>1</v>
      </c>
      <c r="C506">
        <v>207865</v>
      </c>
      <c r="D506" t="s">
        <v>22</v>
      </c>
      <c r="E506" s="10">
        <v>44094</v>
      </c>
      <c r="F506" t="s">
        <v>23</v>
      </c>
      <c r="G506" s="3" t="s">
        <v>28</v>
      </c>
      <c r="H506" t="s">
        <v>40</v>
      </c>
      <c r="S506">
        <v>1</v>
      </c>
      <c r="T506" s="13">
        <f t="shared" si="10"/>
        <v>1</v>
      </c>
      <c r="U506" t="s">
        <v>26</v>
      </c>
    </row>
    <row r="507" spans="1:22" x14ac:dyDescent="0.3">
      <c r="A507">
        <v>9</v>
      </c>
      <c r="B507">
        <v>1</v>
      </c>
      <c r="C507">
        <v>207865</v>
      </c>
      <c r="D507" t="s">
        <v>22</v>
      </c>
      <c r="E507" s="10">
        <v>44094</v>
      </c>
      <c r="F507" t="s">
        <v>23</v>
      </c>
      <c r="G507" s="3" t="s">
        <v>28</v>
      </c>
      <c r="H507" t="s">
        <v>41</v>
      </c>
      <c r="S507">
        <v>5</v>
      </c>
      <c r="T507" s="13">
        <f t="shared" si="10"/>
        <v>5</v>
      </c>
      <c r="U507" t="s">
        <v>26</v>
      </c>
    </row>
    <row r="508" spans="1:22" x14ac:dyDescent="0.3">
      <c r="A508">
        <v>9</v>
      </c>
      <c r="B508">
        <v>1</v>
      </c>
      <c r="C508">
        <v>207865</v>
      </c>
      <c r="D508" t="s">
        <v>22</v>
      </c>
      <c r="E508" s="10">
        <v>44094</v>
      </c>
      <c r="F508" t="s">
        <v>23</v>
      </c>
      <c r="G508" s="3" t="s">
        <v>28</v>
      </c>
      <c r="H508" t="s">
        <v>42</v>
      </c>
      <c r="S508">
        <v>1</v>
      </c>
      <c r="T508" s="13">
        <f t="shared" si="10"/>
        <v>1</v>
      </c>
      <c r="U508" t="s">
        <v>26</v>
      </c>
    </row>
    <row r="509" spans="1:22" x14ac:dyDescent="0.3">
      <c r="A509">
        <v>9</v>
      </c>
      <c r="B509">
        <v>1</v>
      </c>
      <c r="C509">
        <v>207865</v>
      </c>
      <c r="D509" t="s">
        <v>22</v>
      </c>
      <c r="E509" s="10">
        <v>44094</v>
      </c>
      <c r="F509" t="s">
        <v>23</v>
      </c>
      <c r="G509" s="3" t="s">
        <v>28</v>
      </c>
      <c r="H509" t="s">
        <v>43</v>
      </c>
      <c r="K509">
        <v>3</v>
      </c>
      <c r="Q509">
        <v>3</v>
      </c>
      <c r="T509" s="13">
        <f t="shared" si="10"/>
        <v>6</v>
      </c>
      <c r="U509" t="s">
        <v>26</v>
      </c>
    </row>
    <row r="510" spans="1:22" x14ac:dyDescent="0.3">
      <c r="A510">
        <v>9</v>
      </c>
      <c r="B510">
        <v>1</v>
      </c>
      <c r="C510">
        <v>207865</v>
      </c>
      <c r="D510" t="s">
        <v>22</v>
      </c>
      <c r="E510" s="10">
        <v>44094</v>
      </c>
      <c r="F510" t="s">
        <v>23</v>
      </c>
      <c r="G510" s="3" t="s">
        <v>28</v>
      </c>
      <c r="H510" t="s">
        <v>44</v>
      </c>
      <c r="P510">
        <v>2</v>
      </c>
      <c r="T510" s="13">
        <f t="shared" si="10"/>
        <v>2</v>
      </c>
      <c r="U510" t="s">
        <v>26</v>
      </c>
    </row>
    <row r="511" spans="1:22" x14ac:dyDescent="0.3">
      <c r="A511">
        <v>9</v>
      </c>
      <c r="B511">
        <v>1</v>
      </c>
      <c r="C511">
        <v>207865</v>
      </c>
      <c r="D511" t="s">
        <v>22</v>
      </c>
      <c r="E511" s="10">
        <v>44094</v>
      </c>
      <c r="F511" t="s">
        <v>23</v>
      </c>
      <c r="G511" s="3" t="s">
        <v>28</v>
      </c>
      <c r="H511" t="s">
        <v>45</v>
      </c>
      <c r="K511">
        <v>8</v>
      </c>
      <c r="T511" s="13">
        <f t="shared" si="10"/>
        <v>8</v>
      </c>
      <c r="U511" t="s">
        <v>26</v>
      </c>
    </row>
    <row r="512" spans="1:22" s="5" customFormat="1" ht="16.2" thickBot="1" x14ac:dyDescent="0.35">
      <c r="A512" s="5">
        <v>9</v>
      </c>
      <c r="B512" s="5">
        <v>1</v>
      </c>
      <c r="C512" s="5">
        <v>207865</v>
      </c>
      <c r="D512" s="5" t="s">
        <v>22</v>
      </c>
      <c r="E512" s="11">
        <v>44094</v>
      </c>
      <c r="F512" s="5" t="s">
        <v>23</v>
      </c>
      <c r="G512" s="6" t="s">
        <v>28</v>
      </c>
      <c r="H512" s="5" t="s">
        <v>46</v>
      </c>
      <c r="R512" s="5">
        <v>5</v>
      </c>
      <c r="T512" s="12">
        <f t="shared" si="10"/>
        <v>5</v>
      </c>
      <c r="U512" s="5" t="s">
        <v>26</v>
      </c>
      <c r="V512" s="14"/>
    </row>
    <row r="513" spans="1:22" x14ac:dyDescent="0.3">
      <c r="A513">
        <v>9</v>
      </c>
      <c r="B513">
        <v>2</v>
      </c>
      <c r="C513">
        <v>207866</v>
      </c>
      <c r="D513" t="s">
        <v>22</v>
      </c>
      <c r="E513" s="10">
        <v>44094</v>
      </c>
      <c r="F513" t="s">
        <v>23</v>
      </c>
      <c r="G513" s="3" t="s">
        <v>47</v>
      </c>
      <c r="H513" t="s">
        <v>25</v>
      </c>
      <c r="N513">
        <v>5</v>
      </c>
      <c r="O513">
        <v>17</v>
      </c>
      <c r="P513">
        <v>57</v>
      </c>
      <c r="Q513">
        <v>1</v>
      </c>
      <c r="T513" s="13">
        <f t="shared" si="10"/>
        <v>80</v>
      </c>
      <c r="U513" t="s">
        <v>26</v>
      </c>
    </row>
    <row r="514" spans="1:22" x14ac:dyDescent="0.3">
      <c r="A514">
        <v>9</v>
      </c>
      <c r="B514">
        <v>2</v>
      </c>
      <c r="C514">
        <v>207866</v>
      </c>
      <c r="D514" t="s">
        <v>22</v>
      </c>
      <c r="E514" s="10">
        <v>44094</v>
      </c>
      <c r="F514" t="s">
        <v>23</v>
      </c>
      <c r="G514" s="3" t="s">
        <v>48</v>
      </c>
      <c r="H514" t="s">
        <v>30</v>
      </c>
      <c r="I514">
        <v>22</v>
      </c>
      <c r="J514">
        <v>20</v>
      </c>
      <c r="T514" s="13">
        <f t="shared" si="10"/>
        <v>42</v>
      </c>
      <c r="U514" t="s">
        <v>26</v>
      </c>
    </row>
    <row r="515" spans="1:22" x14ac:dyDescent="0.3">
      <c r="A515">
        <v>9</v>
      </c>
      <c r="B515">
        <v>2</v>
      </c>
      <c r="C515">
        <v>207866</v>
      </c>
      <c r="D515" t="s">
        <v>22</v>
      </c>
      <c r="E515" s="10">
        <v>44094</v>
      </c>
      <c r="F515" t="s">
        <v>23</v>
      </c>
      <c r="G515" s="3" t="s">
        <v>48</v>
      </c>
      <c r="H515" t="s">
        <v>32</v>
      </c>
      <c r="O515">
        <v>6</v>
      </c>
      <c r="T515" s="13">
        <f t="shared" si="10"/>
        <v>6</v>
      </c>
      <c r="U515" t="s">
        <v>26</v>
      </c>
    </row>
    <row r="516" spans="1:22" x14ac:dyDescent="0.3">
      <c r="A516">
        <v>9</v>
      </c>
      <c r="B516">
        <v>2</v>
      </c>
      <c r="C516">
        <v>207866</v>
      </c>
      <c r="D516" t="s">
        <v>22</v>
      </c>
      <c r="E516" s="10">
        <v>44094</v>
      </c>
      <c r="F516" t="s">
        <v>23</v>
      </c>
      <c r="G516" s="3" t="s">
        <v>48</v>
      </c>
      <c r="H516" t="s">
        <v>37</v>
      </c>
      <c r="O516">
        <v>4</v>
      </c>
      <c r="P516">
        <v>20</v>
      </c>
      <c r="Q516">
        <v>3</v>
      </c>
      <c r="T516" s="13">
        <f t="shared" si="10"/>
        <v>27</v>
      </c>
      <c r="U516" t="s">
        <v>26</v>
      </c>
    </row>
    <row r="517" spans="1:22" x14ac:dyDescent="0.3">
      <c r="A517">
        <v>9</v>
      </c>
      <c r="B517">
        <v>2</v>
      </c>
      <c r="C517">
        <v>207866</v>
      </c>
      <c r="D517" t="s">
        <v>22</v>
      </c>
      <c r="E517" s="10">
        <v>44094</v>
      </c>
      <c r="F517" t="s">
        <v>23</v>
      </c>
      <c r="G517" s="3" t="s">
        <v>48</v>
      </c>
      <c r="H517" t="s">
        <v>31</v>
      </c>
      <c r="O517">
        <v>1</v>
      </c>
      <c r="P517">
        <v>6</v>
      </c>
      <c r="Q517">
        <v>4</v>
      </c>
      <c r="T517" s="13">
        <f t="shared" si="10"/>
        <v>11</v>
      </c>
      <c r="U517" t="s">
        <v>26</v>
      </c>
    </row>
    <row r="518" spans="1:22" x14ac:dyDescent="0.3">
      <c r="A518">
        <v>9</v>
      </c>
      <c r="B518">
        <v>2</v>
      </c>
      <c r="C518">
        <v>207866</v>
      </c>
      <c r="D518" t="s">
        <v>22</v>
      </c>
      <c r="E518" s="10">
        <v>44094</v>
      </c>
      <c r="F518" t="s">
        <v>23</v>
      </c>
      <c r="G518" s="3" t="s">
        <v>48</v>
      </c>
      <c r="H518" t="s">
        <v>33</v>
      </c>
      <c r="O518">
        <v>1</v>
      </c>
      <c r="P518">
        <v>2</v>
      </c>
      <c r="R518">
        <v>1</v>
      </c>
      <c r="T518" s="13">
        <f t="shared" si="10"/>
        <v>4</v>
      </c>
      <c r="U518" t="s">
        <v>26</v>
      </c>
    </row>
    <row r="519" spans="1:22" x14ac:dyDescent="0.3">
      <c r="A519">
        <v>9</v>
      </c>
      <c r="B519">
        <v>2</v>
      </c>
      <c r="C519">
        <v>207866</v>
      </c>
      <c r="D519" t="s">
        <v>22</v>
      </c>
      <c r="E519" s="10">
        <v>44094</v>
      </c>
      <c r="F519" t="s">
        <v>23</v>
      </c>
      <c r="G519" s="3" t="s">
        <v>48</v>
      </c>
      <c r="H519" t="s">
        <v>38</v>
      </c>
      <c r="P519">
        <v>25</v>
      </c>
      <c r="Q519">
        <v>12</v>
      </c>
      <c r="R519">
        <v>23</v>
      </c>
      <c r="T519" s="13">
        <f t="shared" si="10"/>
        <v>60</v>
      </c>
      <c r="U519" t="s">
        <v>26</v>
      </c>
    </row>
    <row r="520" spans="1:22" x14ac:dyDescent="0.3">
      <c r="A520">
        <v>9</v>
      </c>
      <c r="B520">
        <v>2</v>
      </c>
      <c r="C520">
        <v>207866</v>
      </c>
      <c r="D520" t="s">
        <v>22</v>
      </c>
      <c r="E520" s="10">
        <v>44094</v>
      </c>
      <c r="F520" t="s">
        <v>23</v>
      </c>
      <c r="G520" s="3" t="s">
        <v>48</v>
      </c>
      <c r="H520" t="s">
        <v>34</v>
      </c>
      <c r="R520">
        <v>1</v>
      </c>
      <c r="T520" s="13">
        <f t="shared" si="10"/>
        <v>1</v>
      </c>
      <c r="U520" t="s">
        <v>26</v>
      </c>
    </row>
    <row r="521" spans="1:22" x14ac:dyDescent="0.3">
      <c r="A521">
        <v>9</v>
      </c>
      <c r="B521">
        <v>2</v>
      </c>
      <c r="C521">
        <v>207866</v>
      </c>
      <c r="D521" t="s">
        <v>22</v>
      </c>
      <c r="E521" s="10">
        <v>44094</v>
      </c>
      <c r="F521" t="s">
        <v>23</v>
      </c>
      <c r="G521" s="3" t="s">
        <v>48</v>
      </c>
      <c r="H521" t="s">
        <v>41</v>
      </c>
      <c r="S521">
        <v>2</v>
      </c>
      <c r="T521" s="13">
        <f t="shared" si="10"/>
        <v>2</v>
      </c>
      <c r="U521" t="s">
        <v>26</v>
      </c>
    </row>
    <row r="522" spans="1:22" x14ac:dyDescent="0.3">
      <c r="A522">
        <v>9</v>
      </c>
      <c r="B522">
        <v>2</v>
      </c>
      <c r="C522">
        <v>207866</v>
      </c>
      <c r="D522" t="s">
        <v>22</v>
      </c>
      <c r="E522" s="10">
        <v>44094</v>
      </c>
      <c r="F522" t="s">
        <v>23</v>
      </c>
      <c r="G522" s="3" t="s">
        <v>48</v>
      </c>
      <c r="H522" t="s">
        <v>49</v>
      </c>
      <c r="S522">
        <v>2</v>
      </c>
      <c r="T522" s="13">
        <f t="shared" si="10"/>
        <v>2</v>
      </c>
      <c r="U522" t="s">
        <v>26</v>
      </c>
    </row>
    <row r="523" spans="1:22" x14ac:dyDescent="0.3">
      <c r="A523">
        <v>9</v>
      </c>
      <c r="B523">
        <v>2</v>
      </c>
      <c r="C523">
        <v>207866</v>
      </c>
      <c r="D523" t="s">
        <v>22</v>
      </c>
      <c r="E523" s="10">
        <v>44094</v>
      </c>
      <c r="F523" t="s">
        <v>23</v>
      </c>
      <c r="G523" s="3" t="s">
        <v>48</v>
      </c>
      <c r="H523" t="s">
        <v>50</v>
      </c>
      <c r="S523">
        <v>1</v>
      </c>
      <c r="T523" s="13">
        <f t="shared" si="10"/>
        <v>1</v>
      </c>
      <c r="U523" t="s">
        <v>26</v>
      </c>
    </row>
    <row r="524" spans="1:22" x14ac:dyDescent="0.3">
      <c r="A524">
        <v>9</v>
      </c>
      <c r="B524">
        <v>2</v>
      </c>
      <c r="C524">
        <v>207866</v>
      </c>
      <c r="D524" t="s">
        <v>22</v>
      </c>
      <c r="E524" s="10">
        <v>44094</v>
      </c>
      <c r="F524" t="s">
        <v>23</v>
      </c>
      <c r="G524" s="3" t="s">
        <v>48</v>
      </c>
      <c r="H524" t="s">
        <v>51</v>
      </c>
      <c r="S524">
        <v>1</v>
      </c>
      <c r="T524" s="13">
        <f t="shared" si="10"/>
        <v>1</v>
      </c>
      <c r="U524" t="s">
        <v>26</v>
      </c>
    </row>
    <row r="525" spans="1:22" x14ac:dyDescent="0.3">
      <c r="A525">
        <v>9</v>
      </c>
      <c r="B525">
        <v>2</v>
      </c>
      <c r="C525">
        <v>207866</v>
      </c>
      <c r="D525" t="s">
        <v>22</v>
      </c>
      <c r="E525" s="10">
        <v>44094</v>
      </c>
      <c r="F525" t="s">
        <v>23</v>
      </c>
      <c r="G525" s="3" t="s">
        <v>48</v>
      </c>
      <c r="H525" t="s">
        <v>46</v>
      </c>
      <c r="Q525">
        <v>10</v>
      </c>
      <c r="R525">
        <v>1</v>
      </c>
      <c r="T525" s="13">
        <f t="shared" si="10"/>
        <v>11</v>
      </c>
      <c r="U525" t="s">
        <v>26</v>
      </c>
    </row>
    <row r="526" spans="1:22" x14ac:dyDescent="0.3">
      <c r="A526">
        <v>9</v>
      </c>
      <c r="B526">
        <v>2</v>
      </c>
      <c r="C526">
        <v>207866</v>
      </c>
      <c r="D526" t="s">
        <v>22</v>
      </c>
      <c r="E526" s="10">
        <v>44094</v>
      </c>
      <c r="F526" t="s">
        <v>23</v>
      </c>
      <c r="G526" s="3" t="s">
        <v>48</v>
      </c>
      <c r="H526" t="s">
        <v>45</v>
      </c>
      <c r="K526">
        <v>9</v>
      </c>
      <c r="T526" s="13">
        <f t="shared" si="10"/>
        <v>9</v>
      </c>
      <c r="U526" t="s">
        <v>26</v>
      </c>
    </row>
    <row r="527" spans="1:22" s="5" customFormat="1" ht="16.2" thickBot="1" x14ac:dyDescent="0.35">
      <c r="A527" s="5">
        <v>9</v>
      </c>
      <c r="B527" s="5">
        <v>2</v>
      </c>
      <c r="C527" s="5">
        <v>207866</v>
      </c>
      <c r="D527" s="5" t="s">
        <v>22</v>
      </c>
      <c r="E527" s="11">
        <v>44094</v>
      </c>
      <c r="F527" s="5" t="s">
        <v>23</v>
      </c>
      <c r="G527" s="6" t="s">
        <v>52</v>
      </c>
      <c r="H527" s="5" t="s">
        <v>141</v>
      </c>
      <c r="S527" s="5">
        <v>1</v>
      </c>
      <c r="T527" s="12">
        <f t="shared" si="10"/>
        <v>1</v>
      </c>
      <c r="U527" s="5" t="s">
        <v>53</v>
      </c>
      <c r="V527" s="14"/>
    </row>
    <row r="528" spans="1:22" x14ac:dyDescent="0.3">
      <c r="A528">
        <v>9</v>
      </c>
      <c r="B528">
        <v>3</v>
      </c>
      <c r="C528">
        <v>207867</v>
      </c>
      <c r="D528" t="s">
        <v>22</v>
      </c>
      <c r="E528" s="10">
        <v>44094</v>
      </c>
      <c r="F528" t="s">
        <v>23</v>
      </c>
      <c r="G528" s="3" t="s">
        <v>54</v>
      </c>
      <c r="H528" t="s">
        <v>273</v>
      </c>
      <c r="S528">
        <v>3</v>
      </c>
      <c r="T528" s="13">
        <f t="shared" si="10"/>
        <v>3</v>
      </c>
      <c r="U528" t="s">
        <v>26</v>
      </c>
    </row>
    <row r="529" spans="1:22" x14ac:dyDescent="0.3">
      <c r="A529">
        <v>9</v>
      </c>
      <c r="B529">
        <v>3</v>
      </c>
      <c r="C529">
        <v>207867</v>
      </c>
      <c r="D529" t="s">
        <v>22</v>
      </c>
      <c r="E529" s="10">
        <v>44094</v>
      </c>
      <c r="F529" t="s">
        <v>23</v>
      </c>
      <c r="G529" s="3" t="s">
        <v>54</v>
      </c>
      <c r="H529" t="s">
        <v>55</v>
      </c>
      <c r="S529">
        <v>2</v>
      </c>
      <c r="T529" s="13">
        <f t="shared" si="10"/>
        <v>2</v>
      </c>
      <c r="U529" t="s">
        <v>26</v>
      </c>
    </row>
    <row r="530" spans="1:22" x14ac:dyDescent="0.3">
      <c r="A530">
        <v>9</v>
      </c>
      <c r="B530">
        <v>3</v>
      </c>
      <c r="C530">
        <v>207867</v>
      </c>
      <c r="D530" t="s">
        <v>22</v>
      </c>
      <c r="E530" s="10">
        <v>44094</v>
      </c>
      <c r="F530" t="s">
        <v>23</v>
      </c>
      <c r="G530" s="3" t="s">
        <v>54</v>
      </c>
      <c r="H530" t="s">
        <v>41</v>
      </c>
      <c r="S530">
        <v>4</v>
      </c>
      <c r="T530" s="13">
        <f t="shared" si="10"/>
        <v>4</v>
      </c>
      <c r="U530" t="s">
        <v>26</v>
      </c>
    </row>
    <row r="531" spans="1:22" x14ac:dyDescent="0.3">
      <c r="A531">
        <v>9</v>
      </c>
      <c r="B531">
        <v>3</v>
      </c>
      <c r="C531">
        <v>207867</v>
      </c>
      <c r="D531" t="s">
        <v>22</v>
      </c>
      <c r="E531" s="10">
        <v>44094</v>
      </c>
      <c r="F531" t="s">
        <v>23</v>
      </c>
      <c r="G531" s="3" t="s">
        <v>54</v>
      </c>
      <c r="H531" t="s">
        <v>50</v>
      </c>
      <c r="S531">
        <v>1</v>
      </c>
      <c r="T531" s="13">
        <f t="shared" si="10"/>
        <v>1</v>
      </c>
      <c r="U531" t="s">
        <v>26</v>
      </c>
    </row>
    <row r="532" spans="1:22" x14ac:dyDescent="0.3">
      <c r="A532">
        <v>9</v>
      </c>
      <c r="B532">
        <v>3</v>
      </c>
      <c r="C532">
        <v>207867</v>
      </c>
      <c r="D532" t="s">
        <v>22</v>
      </c>
      <c r="E532" s="10">
        <v>44094</v>
      </c>
      <c r="F532" t="s">
        <v>23</v>
      </c>
      <c r="G532" s="3" t="s">
        <v>54</v>
      </c>
      <c r="H532" t="s">
        <v>40</v>
      </c>
      <c r="S532">
        <v>1</v>
      </c>
      <c r="T532" s="13">
        <f t="shared" si="10"/>
        <v>1</v>
      </c>
      <c r="U532" t="s">
        <v>26</v>
      </c>
    </row>
    <row r="533" spans="1:22" x14ac:dyDescent="0.3">
      <c r="A533">
        <v>9</v>
      </c>
      <c r="B533">
        <v>3</v>
      </c>
      <c r="C533">
        <v>207867</v>
      </c>
      <c r="D533" t="s">
        <v>22</v>
      </c>
      <c r="E533" s="10">
        <v>44094</v>
      </c>
      <c r="F533" t="s">
        <v>23</v>
      </c>
      <c r="G533" s="3" t="s">
        <v>54</v>
      </c>
      <c r="H533" t="s">
        <v>56</v>
      </c>
      <c r="Q533">
        <v>1</v>
      </c>
      <c r="T533" s="13">
        <f t="shared" si="10"/>
        <v>1</v>
      </c>
      <c r="U533" t="s">
        <v>26</v>
      </c>
    </row>
    <row r="534" spans="1:22" x14ac:dyDescent="0.3">
      <c r="A534">
        <v>9</v>
      </c>
      <c r="B534">
        <v>3</v>
      </c>
      <c r="C534">
        <v>207867</v>
      </c>
      <c r="D534" t="s">
        <v>22</v>
      </c>
      <c r="E534" s="10">
        <v>44094</v>
      </c>
      <c r="F534" t="s">
        <v>23</v>
      </c>
      <c r="G534" s="3" t="s">
        <v>54</v>
      </c>
      <c r="H534" t="s">
        <v>49</v>
      </c>
      <c r="S534">
        <v>1</v>
      </c>
      <c r="T534" s="13">
        <f t="shared" si="10"/>
        <v>1</v>
      </c>
      <c r="U534" t="s">
        <v>26</v>
      </c>
    </row>
    <row r="535" spans="1:22" x14ac:dyDescent="0.3">
      <c r="A535">
        <v>9</v>
      </c>
      <c r="B535">
        <v>3</v>
      </c>
      <c r="C535">
        <v>207867</v>
      </c>
      <c r="D535" t="s">
        <v>22</v>
      </c>
      <c r="E535" s="10">
        <v>44094</v>
      </c>
      <c r="F535" t="s">
        <v>23</v>
      </c>
      <c r="G535" s="3" t="s">
        <v>54</v>
      </c>
      <c r="H535" t="s">
        <v>57</v>
      </c>
      <c r="Q535">
        <v>3</v>
      </c>
      <c r="T535" s="13">
        <f t="shared" si="10"/>
        <v>3</v>
      </c>
      <c r="U535" t="s">
        <v>26</v>
      </c>
    </row>
    <row r="536" spans="1:22" x14ac:dyDescent="0.3">
      <c r="A536">
        <v>9</v>
      </c>
      <c r="B536">
        <v>3</v>
      </c>
      <c r="C536">
        <v>207867</v>
      </c>
      <c r="D536" t="s">
        <v>22</v>
      </c>
      <c r="E536" s="10">
        <v>44094</v>
      </c>
      <c r="F536" t="s">
        <v>23</v>
      </c>
      <c r="G536" s="3" t="s">
        <v>54</v>
      </c>
      <c r="H536" t="s">
        <v>30</v>
      </c>
      <c r="I536">
        <v>28</v>
      </c>
      <c r="J536">
        <v>36</v>
      </c>
      <c r="T536" s="13">
        <f t="shared" si="10"/>
        <v>64</v>
      </c>
      <c r="U536" t="s">
        <v>26</v>
      </c>
    </row>
    <row r="537" spans="1:22" x14ac:dyDescent="0.3">
      <c r="A537">
        <v>9</v>
      </c>
      <c r="B537">
        <v>3</v>
      </c>
      <c r="C537">
        <v>207867</v>
      </c>
      <c r="D537" t="s">
        <v>22</v>
      </c>
      <c r="E537" s="10">
        <v>44094</v>
      </c>
      <c r="F537" t="s">
        <v>23</v>
      </c>
      <c r="G537" s="3" t="s">
        <v>54</v>
      </c>
      <c r="H537" t="s">
        <v>44</v>
      </c>
      <c r="N537">
        <v>1</v>
      </c>
      <c r="O537">
        <v>1</v>
      </c>
      <c r="T537" s="13">
        <f t="shared" si="10"/>
        <v>2</v>
      </c>
      <c r="U537" t="s">
        <v>26</v>
      </c>
    </row>
    <row r="538" spans="1:22" x14ac:dyDescent="0.3">
      <c r="A538">
        <v>9</v>
      </c>
      <c r="B538">
        <v>3</v>
      </c>
      <c r="C538">
        <v>207867</v>
      </c>
      <c r="D538" t="s">
        <v>22</v>
      </c>
      <c r="E538" s="10">
        <v>44094</v>
      </c>
      <c r="F538" t="s">
        <v>23</v>
      </c>
      <c r="G538" s="3" t="s">
        <v>54</v>
      </c>
      <c r="H538" t="s">
        <v>37</v>
      </c>
      <c r="O538">
        <v>6</v>
      </c>
      <c r="P538">
        <v>10</v>
      </c>
      <c r="Q538">
        <v>12</v>
      </c>
      <c r="T538" s="13">
        <f t="shared" si="10"/>
        <v>28</v>
      </c>
      <c r="U538" t="s">
        <v>26</v>
      </c>
    </row>
    <row r="539" spans="1:22" x14ac:dyDescent="0.3">
      <c r="A539">
        <v>9</v>
      </c>
      <c r="B539">
        <v>3</v>
      </c>
      <c r="C539">
        <v>207867</v>
      </c>
      <c r="D539" t="s">
        <v>22</v>
      </c>
      <c r="E539" s="10">
        <v>44094</v>
      </c>
      <c r="F539" t="s">
        <v>23</v>
      </c>
      <c r="G539" s="3" t="s">
        <v>54</v>
      </c>
      <c r="H539" t="s">
        <v>33</v>
      </c>
      <c r="O539">
        <v>2</v>
      </c>
      <c r="P539">
        <v>1</v>
      </c>
      <c r="Q539">
        <v>1</v>
      </c>
      <c r="R539">
        <v>3</v>
      </c>
      <c r="T539" s="13">
        <f t="shared" si="10"/>
        <v>7</v>
      </c>
      <c r="U539" t="s">
        <v>26</v>
      </c>
    </row>
    <row r="540" spans="1:22" x14ac:dyDescent="0.3">
      <c r="A540">
        <v>9</v>
      </c>
      <c r="B540">
        <v>3</v>
      </c>
      <c r="C540">
        <v>207867</v>
      </c>
      <c r="D540" t="s">
        <v>22</v>
      </c>
      <c r="E540" s="10">
        <v>44094</v>
      </c>
      <c r="F540" t="s">
        <v>23</v>
      </c>
      <c r="G540" s="3" t="s">
        <v>54</v>
      </c>
      <c r="H540" t="s">
        <v>32</v>
      </c>
      <c r="O540">
        <v>29</v>
      </c>
      <c r="T540" s="13">
        <f t="shared" si="10"/>
        <v>29</v>
      </c>
      <c r="U540" t="s">
        <v>26</v>
      </c>
    </row>
    <row r="541" spans="1:22" x14ac:dyDescent="0.3">
      <c r="A541">
        <v>9</v>
      </c>
      <c r="B541">
        <v>3</v>
      </c>
      <c r="C541">
        <v>207867</v>
      </c>
      <c r="D541" t="s">
        <v>22</v>
      </c>
      <c r="E541" s="10">
        <v>44094</v>
      </c>
      <c r="F541" t="s">
        <v>23</v>
      </c>
      <c r="G541" s="3" t="s">
        <v>54</v>
      </c>
      <c r="H541" t="s">
        <v>38</v>
      </c>
      <c r="P541">
        <v>52</v>
      </c>
      <c r="Q541">
        <v>8</v>
      </c>
      <c r="R541">
        <v>14</v>
      </c>
      <c r="T541" s="13">
        <f t="shared" si="10"/>
        <v>74</v>
      </c>
      <c r="U541" t="s">
        <v>26</v>
      </c>
    </row>
    <row r="542" spans="1:22" x14ac:dyDescent="0.3">
      <c r="A542">
        <v>9</v>
      </c>
      <c r="B542">
        <v>3</v>
      </c>
      <c r="C542">
        <v>207867</v>
      </c>
      <c r="D542" t="s">
        <v>22</v>
      </c>
      <c r="E542" s="10">
        <v>44094</v>
      </c>
      <c r="F542" t="s">
        <v>23</v>
      </c>
      <c r="G542" s="3" t="s">
        <v>54</v>
      </c>
      <c r="H542" t="s">
        <v>31</v>
      </c>
      <c r="P542">
        <v>1</v>
      </c>
      <c r="Q542">
        <v>1</v>
      </c>
      <c r="T542" s="13">
        <f t="shared" si="10"/>
        <v>2</v>
      </c>
      <c r="U542" t="s">
        <v>26</v>
      </c>
    </row>
    <row r="543" spans="1:22" x14ac:dyDescent="0.3">
      <c r="A543">
        <v>9</v>
      </c>
      <c r="B543">
        <v>3</v>
      </c>
      <c r="C543">
        <v>207867</v>
      </c>
      <c r="D543" t="s">
        <v>22</v>
      </c>
      <c r="E543" s="10">
        <v>44094</v>
      </c>
      <c r="F543" t="s">
        <v>23</v>
      </c>
      <c r="G543" s="3" t="s">
        <v>54</v>
      </c>
      <c r="H543" t="s">
        <v>45</v>
      </c>
      <c r="K543">
        <v>12</v>
      </c>
      <c r="T543" s="13">
        <f t="shared" si="10"/>
        <v>12</v>
      </c>
      <c r="U543" t="s">
        <v>26</v>
      </c>
    </row>
    <row r="544" spans="1:22" s="5" customFormat="1" ht="16.2" thickBot="1" x14ac:dyDescent="0.35">
      <c r="A544" s="5">
        <v>9</v>
      </c>
      <c r="B544" s="5">
        <v>3</v>
      </c>
      <c r="C544" s="5">
        <v>207867</v>
      </c>
      <c r="D544" s="5" t="s">
        <v>22</v>
      </c>
      <c r="E544" s="11">
        <v>44094</v>
      </c>
      <c r="F544" s="5" t="s">
        <v>23</v>
      </c>
      <c r="G544" s="6" t="s">
        <v>54</v>
      </c>
      <c r="H544" s="5" t="s">
        <v>46</v>
      </c>
      <c r="Q544" s="5">
        <v>23</v>
      </c>
      <c r="R544" s="5">
        <v>2</v>
      </c>
      <c r="T544" s="12">
        <f t="shared" si="10"/>
        <v>25</v>
      </c>
      <c r="U544" s="5" t="s">
        <v>26</v>
      </c>
      <c r="V544" s="14"/>
    </row>
    <row r="545" spans="1:22" ht="46.8" x14ac:dyDescent="0.3">
      <c r="A545">
        <v>9</v>
      </c>
      <c r="B545">
        <v>4</v>
      </c>
      <c r="C545">
        <v>207868</v>
      </c>
      <c r="D545" t="s">
        <v>22</v>
      </c>
      <c r="E545" s="10">
        <v>44094</v>
      </c>
      <c r="F545" t="s">
        <v>23</v>
      </c>
      <c r="G545" s="3" t="s">
        <v>155</v>
      </c>
      <c r="H545" t="s">
        <v>38</v>
      </c>
      <c r="P545">
        <v>23</v>
      </c>
      <c r="Q545">
        <v>3</v>
      </c>
      <c r="R545">
        <v>5</v>
      </c>
      <c r="T545" s="13">
        <f t="shared" si="10"/>
        <v>31</v>
      </c>
      <c r="U545" t="s">
        <v>144</v>
      </c>
      <c r="V545" s="15" t="s">
        <v>158</v>
      </c>
    </row>
    <row r="546" spans="1:22" x14ac:dyDescent="0.3">
      <c r="A546">
        <v>9</v>
      </c>
      <c r="B546">
        <v>4</v>
      </c>
      <c r="C546">
        <v>207868</v>
      </c>
      <c r="D546" t="s">
        <v>22</v>
      </c>
      <c r="E546" s="10">
        <v>44094</v>
      </c>
      <c r="F546" t="s">
        <v>23</v>
      </c>
      <c r="G546" s="3" t="s">
        <v>155</v>
      </c>
      <c r="H546" t="s">
        <v>37</v>
      </c>
      <c r="O546">
        <v>3</v>
      </c>
      <c r="P546">
        <v>6</v>
      </c>
      <c r="Q546">
        <v>2</v>
      </c>
      <c r="R546">
        <v>2</v>
      </c>
      <c r="T546" s="13">
        <f t="shared" si="10"/>
        <v>13</v>
      </c>
      <c r="U546" t="s">
        <v>144</v>
      </c>
    </row>
    <row r="547" spans="1:22" x14ac:dyDescent="0.3">
      <c r="A547">
        <v>9</v>
      </c>
      <c r="B547">
        <v>4</v>
      </c>
      <c r="C547">
        <v>207868</v>
      </c>
      <c r="D547" t="s">
        <v>22</v>
      </c>
      <c r="E547" s="10">
        <v>44094</v>
      </c>
      <c r="F547" t="s">
        <v>23</v>
      </c>
      <c r="G547" s="3" t="s">
        <v>155</v>
      </c>
      <c r="H547" t="s">
        <v>33</v>
      </c>
      <c r="O547">
        <v>6</v>
      </c>
      <c r="P547">
        <v>6</v>
      </c>
      <c r="Q547">
        <v>8</v>
      </c>
      <c r="R547">
        <v>11</v>
      </c>
      <c r="T547" s="13">
        <f t="shared" si="10"/>
        <v>31</v>
      </c>
      <c r="U547" t="s">
        <v>144</v>
      </c>
    </row>
    <row r="548" spans="1:22" x14ac:dyDescent="0.3">
      <c r="A548">
        <v>9</v>
      </c>
      <c r="B548">
        <v>4</v>
      </c>
      <c r="C548">
        <v>207868</v>
      </c>
      <c r="D548" t="s">
        <v>22</v>
      </c>
      <c r="E548" s="10">
        <v>44094</v>
      </c>
      <c r="F548" t="s">
        <v>23</v>
      </c>
      <c r="G548" s="3" t="s">
        <v>155</v>
      </c>
      <c r="H548" t="s">
        <v>98</v>
      </c>
      <c r="Q548">
        <v>1</v>
      </c>
      <c r="T548" s="13">
        <f t="shared" si="10"/>
        <v>1</v>
      </c>
      <c r="U548" t="s">
        <v>144</v>
      </c>
      <c r="V548" s="15" t="s">
        <v>156</v>
      </c>
    </row>
    <row r="549" spans="1:22" x14ac:dyDescent="0.3">
      <c r="A549">
        <v>9</v>
      </c>
      <c r="B549">
        <v>4</v>
      </c>
      <c r="C549">
        <v>207868</v>
      </c>
      <c r="D549" t="s">
        <v>22</v>
      </c>
      <c r="E549" s="10">
        <v>44094</v>
      </c>
      <c r="F549" t="s">
        <v>23</v>
      </c>
      <c r="G549" s="3" t="s">
        <v>155</v>
      </c>
      <c r="H549" t="s">
        <v>30</v>
      </c>
      <c r="I549">
        <v>32</v>
      </c>
      <c r="J549">
        <v>24</v>
      </c>
      <c r="T549" s="13">
        <f t="shared" si="10"/>
        <v>56</v>
      </c>
      <c r="U549" t="s">
        <v>144</v>
      </c>
    </row>
    <row r="550" spans="1:22" x14ac:dyDescent="0.3">
      <c r="A550">
        <v>9</v>
      </c>
      <c r="B550">
        <v>4</v>
      </c>
      <c r="C550">
        <v>207868</v>
      </c>
      <c r="D550" t="s">
        <v>22</v>
      </c>
      <c r="E550" s="10">
        <v>44094</v>
      </c>
      <c r="F550" t="s">
        <v>23</v>
      </c>
      <c r="G550" s="3" t="s">
        <v>155</v>
      </c>
      <c r="H550" t="s">
        <v>71</v>
      </c>
      <c r="R550">
        <v>1</v>
      </c>
      <c r="T550" s="13">
        <f t="shared" si="10"/>
        <v>1</v>
      </c>
      <c r="U550" t="s">
        <v>144</v>
      </c>
    </row>
    <row r="551" spans="1:22" x14ac:dyDescent="0.3">
      <c r="A551">
        <v>9</v>
      </c>
      <c r="B551">
        <v>4</v>
      </c>
      <c r="C551">
        <v>207868</v>
      </c>
      <c r="D551" t="s">
        <v>22</v>
      </c>
      <c r="E551" s="10">
        <v>44094</v>
      </c>
      <c r="F551" t="s">
        <v>23</v>
      </c>
      <c r="G551" s="3" t="s">
        <v>155</v>
      </c>
      <c r="H551" t="s">
        <v>32</v>
      </c>
      <c r="O551">
        <v>20</v>
      </c>
      <c r="T551" s="13">
        <f t="shared" si="10"/>
        <v>20</v>
      </c>
      <c r="U551" t="s">
        <v>144</v>
      </c>
    </row>
    <row r="552" spans="1:22" x14ac:dyDescent="0.3">
      <c r="A552">
        <v>9</v>
      </c>
      <c r="B552">
        <v>4</v>
      </c>
      <c r="C552">
        <v>207868</v>
      </c>
      <c r="D552" t="s">
        <v>22</v>
      </c>
      <c r="E552" s="10">
        <v>44094</v>
      </c>
      <c r="F552" t="s">
        <v>23</v>
      </c>
      <c r="G552" s="3" t="s">
        <v>155</v>
      </c>
      <c r="H552" t="s">
        <v>56</v>
      </c>
      <c r="Q552">
        <v>2</v>
      </c>
      <c r="T552" s="13">
        <f t="shared" si="10"/>
        <v>2</v>
      </c>
      <c r="U552" t="s">
        <v>144</v>
      </c>
    </row>
    <row r="553" spans="1:22" x14ac:dyDescent="0.3">
      <c r="A553">
        <v>9</v>
      </c>
      <c r="B553">
        <v>4</v>
      </c>
      <c r="C553">
        <v>207868</v>
      </c>
      <c r="D553" t="s">
        <v>22</v>
      </c>
      <c r="E553" s="10">
        <v>44094</v>
      </c>
      <c r="F553" t="s">
        <v>23</v>
      </c>
      <c r="G553" s="3" t="s">
        <v>155</v>
      </c>
      <c r="H553" t="s">
        <v>51</v>
      </c>
      <c r="S553">
        <v>1</v>
      </c>
      <c r="T553" s="13">
        <f t="shared" si="10"/>
        <v>1</v>
      </c>
      <c r="U553" t="s">
        <v>144</v>
      </c>
    </row>
    <row r="554" spans="1:22" x14ac:dyDescent="0.3">
      <c r="A554">
        <v>9</v>
      </c>
      <c r="B554">
        <v>4</v>
      </c>
      <c r="C554">
        <v>207868</v>
      </c>
      <c r="D554" t="s">
        <v>22</v>
      </c>
      <c r="E554" s="10">
        <v>44094</v>
      </c>
      <c r="F554" t="s">
        <v>23</v>
      </c>
      <c r="G554" s="3" t="s">
        <v>155</v>
      </c>
      <c r="H554" t="s">
        <v>41</v>
      </c>
      <c r="S554">
        <v>4</v>
      </c>
      <c r="T554" s="13">
        <f t="shared" si="10"/>
        <v>4</v>
      </c>
      <c r="U554" t="s">
        <v>144</v>
      </c>
    </row>
    <row r="555" spans="1:22" x14ac:dyDescent="0.3">
      <c r="A555">
        <v>9</v>
      </c>
      <c r="B555">
        <v>4</v>
      </c>
      <c r="C555">
        <v>207868</v>
      </c>
      <c r="D555" t="s">
        <v>22</v>
      </c>
      <c r="E555" s="10">
        <v>44094</v>
      </c>
      <c r="F555" t="s">
        <v>23</v>
      </c>
      <c r="G555" s="3" t="s">
        <v>155</v>
      </c>
      <c r="H555" t="s">
        <v>55</v>
      </c>
      <c r="S555">
        <v>2</v>
      </c>
      <c r="T555" s="13">
        <f t="shared" si="10"/>
        <v>2</v>
      </c>
      <c r="U555" t="s">
        <v>144</v>
      </c>
    </row>
    <row r="556" spans="1:22" x14ac:dyDescent="0.3">
      <c r="A556">
        <v>9</v>
      </c>
      <c r="B556">
        <v>4</v>
      </c>
      <c r="C556">
        <v>207868</v>
      </c>
      <c r="D556" t="s">
        <v>22</v>
      </c>
      <c r="E556" s="10">
        <v>44094</v>
      </c>
      <c r="F556" t="s">
        <v>23</v>
      </c>
      <c r="G556" s="3" t="s">
        <v>155</v>
      </c>
      <c r="H556" t="s">
        <v>40</v>
      </c>
      <c r="S556">
        <v>2</v>
      </c>
      <c r="T556" s="13">
        <f t="shared" si="10"/>
        <v>2</v>
      </c>
      <c r="U556" t="s">
        <v>144</v>
      </c>
    </row>
    <row r="557" spans="1:22" x14ac:dyDescent="0.3">
      <c r="A557">
        <v>9</v>
      </c>
      <c r="B557">
        <v>4</v>
      </c>
      <c r="C557">
        <v>207868</v>
      </c>
      <c r="D557" t="s">
        <v>22</v>
      </c>
      <c r="E557" s="10">
        <v>44094</v>
      </c>
      <c r="F557" t="s">
        <v>23</v>
      </c>
      <c r="G557" s="3" t="s">
        <v>155</v>
      </c>
      <c r="H557" t="s">
        <v>74</v>
      </c>
      <c r="Q557">
        <v>1</v>
      </c>
      <c r="T557" s="13">
        <f t="shared" si="10"/>
        <v>1</v>
      </c>
      <c r="U557" t="s">
        <v>144</v>
      </c>
    </row>
    <row r="558" spans="1:22" x14ac:dyDescent="0.3">
      <c r="A558">
        <v>9</v>
      </c>
      <c r="B558">
        <v>4</v>
      </c>
      <c r="C558">
        <v>207868</v>
      </c>
      <c r="D558" t="s">
        <v>22</v>
      </c>
      <c r="E558" s="10">
        <v>44094</v>
      </c>
      <c r="F558" t="s">
        <v>23</v>
      </c>
      <c r="G558" s="3" t="s">
        <v>155</v>
      </c>
      <c r="H558" t="s">
        <v>46</v>
      </c>
      <c r="Q558">
        <v>13</v>
      </c>
      <c r="R558">
        <v>1</v>
      </c>
      <c r="T558" s="13">
        <f t="shared" si="10"/>
        <v>14</v>
      </c>
      <c r="U558" t="s">
        <v>144</v>
      </c>
    </row>
    <row r="559" spans="1:22" x14ac:dyDescent="0.3">
      <c r="A559">
        <v>9</v>
      </c>
      <c r="B559">
        <v>4</v>
      </c>
      <c r="C559">
        <v>207868</v>
      </c>
      <c r="D559" t="s">
        <v>22</v>
      </c>
      <c r="E559" s="10">
        <v>44094</v>
      </c>
      <c r="F559" t="s">
        <v>23</v>
      </c>
      <c r="G559" s="3" t="s">
        <v>155</v>
      </c>
      <c r="H559" t="s">
        <v>45</v>
      </c>
      <c r="I559">
        <v>2</v>
      </c>
      <c r="K559">
        <v>12</v>
      </c>
      <c r="T559" s="13">
        <f t="shared" si="10"/>
        <v>14</v>
      </c>
      <c r="U559" t="s">
        <v>144</v>
      </c>
    </row>
    <row r="560" spans="1:22" ht="31.2" x14ac:dyDescent="0.3">
      <c r="A560">
        <v>9</v>
      </c>
      <c r="B560">
        <v>4</v>
      </c>
      <c r="C560">
        <v>207868</v>
      </c>
      <c r="D560" t="s">
        <v>22</v>
      </c>
      <c r="E560" s="10">
        <v>44094</v>
      </c>
      <c r="F560" t="s">
        <v>23</v>
      </c>
      <c r="G560" s="3" t="s">
        <v>155</v>
      </c>
      <c r="H560" t="s">
        <v>44</v>
      </c>
      <c r="P560">
        <v>1</v>
      </c>
      <c r="T560" s="13">
        <f t="shared" si="10"/>
        <v>1</v>
      </c>
      <c r="U560" t="s">
        <v>144</v>
      </c>
      <c r="V560" s="15" t="s">
        <v>157</v>
      </c>
    </row>
    <row r="561" spans="1:22" x14ac:dyDescent="0.3">
      <c r="A561">
        <v>9</v>
      </c>
      <c r="B561">
        <v>4</v>
      </c>
      <c r="C561">
        <v>207868</v>
      </c>
      <c r="D561" t="s">
        <v>22</v>
      </c>
      <c r="E561" s="10">
        <v>44094</v>
      </c>
      <c r="F561" t="s">
        <v>23</v>
      </c>
      <c r="G561" s="3" t="s">
        <v>155</v>
      </c>
      <c r="H561" t="s">
        <v>31</v>
      </c>
      <c r="P561">
        <v>2</v>
      </c>
      <c r="T561" s="13">
        <f t="shared" si="10"/>
        <v>2</v>
      </c>
      <c r="U561" t="s">
        <v>144</v>
      </c>
    </row>
    <row r="562" spans="1:22" s="5" customFormat="1" ht="16.2" thickBot="1" x14ac:dyDescent="0.35">
      <c r="A562" s="5">
        <v>9</v>
      </c>
      <c r="B562" s="5">
        <v>4</v>
      </c>
      <c r="C562" s="5">
        <v>207868</v>
      </c>
      <c r="D562" s="5" t="s">
        <v>22</v>
      </c>
      <c r="E562" s="11">
        <v>44094</v>
      </c>
      <c r="F562" s="5" t="s">
        <v>23</v>
      </c>
      <c r="G562" s="6" t="s">
        <v>52</v>
      </c>
      <c r="H562" s="5" t="s">
        <v>141</v>
      </c>
      <c r="S562" s="5">
        <v>1</v>
      </c>
      <c r="T562" s="12">
        <f t="shared" si="10"/>
        <v>1</v>
      </c>
      <c r="U562" s="5" t="s">
        <v>143</v>
      </c>
      <c r="V562" s="14" t="s">
        <v>94</v>
      </c>
    </row>
    <row r="563" spans="1:22" ht="31.2" x14ac:dyDescent="0.3">
      <c r="A563">
        <v>9</v>
      </c>
      <c r="B563">
        <v>5</v>
      </c>
      <c r="C563">
        <v>207869</v>
      </c>
      <c r="D563" t="s">
        <v>22</v>
      </c>
      <c r="E563" s="10">
        <v>44094</v>
      </c>
      <c r="F563" t="s">
        <v>23</v>
      </c>
      <c r="G563" s="3" t="s">
        <v>28</v>
      </c>
      <c r="H563" t="s">
        <v>25</v>
      </c>
      <c r="M563">
        <v>3</v>
      </c>
      <c r="P563">
        <v>4</v>
      </c>
      <c r="T563" s="13">
        <f t="shared" si="10"/>
        <v>7</v>
      </c>
      <c r="U563" t="s">
        <v>26</v>
      </c>
      <c r="V563" s="15" t="s">
        <v>159</v>
      </c>
    </row>
    <row r="564" spans="1:22" x14ac:dyDescent="0.3">
      <c r="A564">
        <v>9</v>
      </c>
      <c r="B564">
        <v>5</v>
      </c>
      <c r="C564">
        <v>207869</v>
      </c>
      <c r="D564" t="s">
        <v>22</v>
      </c>
      <c r="E564" s="10">
        <v>44094</v>
      </c>
      <c r="F564" t="s">
        <v>23</v>
      </c>
      <c r="G564" s="3" t="s">
        <v>155</v>
      </c>
      <c r="H564" t="s">
        <v>33</v>
      </c>
      <c r="M564">
        <v>1</v>
      </c>
      <c r="N564">
        <v>2</v>
      </c>
      <c r="O564">
        <v>12</v>
      </c>
      <c r="P564">
        <v>7</v>
      </c>
      <c r="R564">
        <v>11</v>
      </c>
      <c r="T564" s="13">
        <f t="shared" si="10"/>
        <v>33</v>
      </c>
      <c r="U564" t="s">
        <v>26</v>
      </c>
    </row>
    <row r="565" spans="1:22" x14ac:dyDescent="0.3">
      <c r="A565">
        <v>9</v>
      </c>
      <c r="B565">
        <v>5</v>
      </c>
      <c r="C565">
        <v>207869</v>
      </c>
      <c r="D565" t="s">
        <v>22</v>
      </c>
      <c r="E565" s="10">
        <v>44094</v>
      </c>
      <c r="F565" t="s">
        <v>23</v>
      </c>
      <c r="G565" s="3" t="s">
        <v>155</v>
      </c>
      <c r="H565" t="s">
        <v>44</v>
      </c>
      <c r="N565">
        <v>1</v>
      </c>
      <c r="T565" s="13">
        <f t="shared" si="10"/>
        <v>1</v>
      </c>
      <c r="U565" t="s">
        <v>26</v>
      </c>
    </row>
    <row r="566" spans="1:22" x14ac:dyDescent="0.3">
      <c r="A566">
        <v>9</v>
      </c>
      <c r="B566">
        <v>5</v>
      </c>
      <c r="C566">
        <v>207869</v>
      </c>
      <c r="D566" t="s">
        <v>22</v>
      </c>
      <c r="E566" s="10">
        <v>44094</v>
      </c>
      <c r="F566" t="s">
        <v>23</v>
      </c>
      <c r="G566" s="3" t="s">
        <v>155</v>
      </c>
      <c r="H566" t="s">
        <v>30</v>
      </c>
      <c r="I566">
        <v>11</v>
      </c>
      <c r="J566">
        <v>26</v>
      </c>
      <c r="T566" s="13">
        <f t="shared" si="10"/>
        <v>37</v>
      </c>
      <c r="U566" t="s">
        <v>26</v>
      </c>
    </row>
    <row r="567" spans="1:22" x14ac:dyDescent="0.3">
      <c r="A567">
        <v>9</v>
      </c>
      <c r="B567">
        <v>5</v>
      </c>
      <c r="C567">
        <v>207869</v>
      </c>
      <c r="D567" t="s">
        <v>22</v>
      </c>
      <c r="E567" s="10">
        <v>44094</v>
      </c>
      <c r="F567" t="s">
        <v>23</v>
      </c>
      <c r="G567" s="3" t="s">
        <v>155</v>
      </c>
      <c r="H567" t="s">
        <v>37</v>
      </c>
      <c r="O567">
        <v>2</v>
      </c>
      <c r="P567">
        <v>1</v>
      </c>
      <c r="Q567">
        <v>2</v>
      </c>
      <c r="T567" s="13">
        <f t="shared" si="10"/>
        <v>5</v>
      </c>
      <c r="U567" t="s">
        <v>26</v>
      </c>
    </row>
    <row r="568" spans="1:22" x14ac:dyDescent="0.3">
      <c r="A568">
        <v>9</v>
      </c>
      <c r="B568">
        <v>5</v>
      </c>
      <c r="C568">
        <v>207869</v>
      </c>
      <c r="D568" t="s">
        <v>22</v>
      </c>
      <c r="E568" s="10">
        <v>44094</v>
      </c>
      <c r="F568" t="s">
        <v>23</v>
      </c>
      <c r="G568" s="3" t="s">
        <v>155</v>
      </c>
      <c r="H568" t="s">
        <v>31</v>
      </c>
      <c r="O568">
        <v>3</v>
      </c>
      <c r="P568">
        <v>1</v>
      </c>
      <c r="Q568">
        <v>1</v>
      </c>
      <c r="T568" s="13">
        <f t="shared" ref="T568:T631" si="11">SUM(I568:S568)</f>
        <v>5</v>
      </c>
      <c r="U568" t="s">
        <v>26</v>
      </c>
    </row>
    <row r="569" spans="1:22" x14ac:dyDescent="0.3">
      <c r="A569">
        <v>9</v>
      </c>
      <c r="B569">
        <v>5</v>
      </c>
      <c r="C569">
        <v>207869</v>
      </c>
      <c r="D569" t="s">
        <v>22</v>
      </c>
      <c r="E569" s="10">
        <v>44094</v>
      </c>
      <c r="F569" t="s">
        <v>23</v>
      </c>
      <c r="G569" s="3" t="s">
        <v>155</v>
      </c>
      <c r="H569" t="s">
        <v>32</v>
      </c>
      <c r="O569">
        <v>38</v>
      </c>
      <c r="T569" s="13">
        <f t="shared" si="11"/>
        <v>38</v>
      </c>
      <c r="U569" t="s">
        <v>26</v>
      </c>
    </row>
    <row r="570" spans="1:22" x14ac:dyDescent="0.3">
      <c r="A570">
        <v>9</v>
      </c>
      <c r="B570">
        <v>5</v>
      </c>
      <c r="C570">
        <v>207869</v>
      </c>
      <c r="D570" t="s">
        <v>22</v>
      </c>
      <c r="E570" s="10">
        <v>44094</v>
      </c>
      <c r="F570" t="s">
        <v>23</v>
      </c>
      <c r="G570" s="3" t="s">
        <v>155</v>
      </c>
      <c r="H570" t="s">
        <v>98</v>
      </c>
      <c r="Q570">
        <v>1</v>
      </c>
      <c r="T570" s="13">
        <f t="shared" si="11"/>
        <v>1</v>
      </c>
      <c r="U570" t="s">
        <v>26</v>
      </c>
    </row>
    <row r="571" spans="1:22" x14ac:dyDescent="0.3">
      <c r="A571">
        <v>9</v>
      </c>
      <c r="B571">
        <v>5</v>
      </c>
      <c r="C571">
        <v>207869</v>
      </c>
      <c r="D571" t="s">
        <v>22</v>
      </c>
      <c r="E571" s="10">
        <v>44094</v>
      </c>
      <c r="F571" t="s">
        <v>23</v>
      </c>
      <c r="G571" s="3" t="s">
        <v>155</v>
      </c>
      <c r="H571" t="s">
        <v>38</v>
      </c>
      <c r="P571">
        <v>22</v>
      </c>
      <c r="Q571">
        <v>8</v>
      </c>
      <c r="R571">
        <v>7</v>
      </c>
      <c r="T571" s="13">
        <f t="shared" si="11"/>
        <v>37</v>
      </c>
      <c r="U571" t="s">
        <v>26</v>
      </c>
    </row>
    <row r="572" spans="1:22" x14ac:dyDescent="0.3">
      <c r="A572">
        <v>9</v>
      </c>
      <c r="B572">
        <v>5</v>
      </c>
      <c r="C572">
        <v>207869</v>
      </c>
      <c r="D572" t="s">
        <v>22</v>
      </c>
      <c r="E572" s="10">
        <v>44094</v>
      </c>
      <c r="F572" t="s">
        <v>23</v>
      </c>
      <c r="G572" s="3" t="s">
        <v>155</v>
      </c>
      <c r="H572" t="s">
        <v>71</v>
      </c>
      <c r="R572">
        <v>1</v>
      </c>
      <c r="T572" s="13">
        <f t="shared" si="11"/>
        <v>1</v>
      </c>
      <c r="U572" t="s">
        <v>26</v>
      </c>
      <c r="V572" s="15" t="s">
        <v>160</v>
      </c>
    </row>
    <row r="573" spans="1:22" x14ac:dyDescent="0.3">
      <c r="A573">
        <v>9</v>
      </c>
      <c r="B573">
        <v>5</v>
      </c>
      <c r="C573">
        <v>207869</v>
      </c>
      <c r="D573" t="s">
        <v>22</v>
      </c>
      <c r="E573" s="10">
        <v>44094</v>
      </c>
      <c r="F573" t="s">
        <v>23</v>
      </c>
      <c r="G573" s="3" t="s">
        <v>155</v>
      </c>
      <c r="H573" t="s">
        <v>46</v>
      </c>
      <c r="Q573">
        <v>40</v>
      </c>
      <c r="R573">
        <v>1</v>
      </c>
      <c r="T573" s="13">
        <f t="shared" si="11"/>
        <v>41</v>
      </c>
      <c r="U573" t="s">
        <v>26</v>
      </c>
    </row>
    <row r="574" spans="1:22" x14ac:dyDescent="0.3">
      <c r="A574">
        <v>9</v>
      </c>
      <c r="B574">
        <v>5</v>
      </c>
      <c r="C574">
        <v>207869</v>
      </c>
      <c r="D574" t="s">
        <v>22</v>
      </c>
      <c r="E574" s="10">
        <v>44094</v>
      </c>
      <c r="F574" t="s">
        <v>23</v>
      </c>
      <c r="G574" s="3" t="s">
        <v>155</v>
      </c>
      <c r="H574" t="s">
        <v>45</v>
      </c>
      <c r="K574">
        <v>21</v>
      </c>
      <c r="T574" s="13">
        <f t="shared" si="11"/>
        <v>21</v>
      </c>
      <c r="U574" t="s">
        <v>26</v>
      </c>
    </row>
    <row r="575" spans="1:22" x14ac:dyDescent="0.3">
      <c r="A575">
        <v>9</v>
      </c>
      <c r="B575">
        <v>5</v>
      </c>
      <c r="C575">
        <v>207869</v>
      </c>
      <c r="D575" t="s">
        <v>22</v>
      </c>
      <c r="E575" s="10">
        <v>44094</v>
      </c>
      <c r="F575" t="s">
        <v>23</v>
      </c>
      <c r="G575" s="3" t="s">
        <v>155</v>
      </c>
      <c r="H575" t="s">
        <v>41</v>
      </c>
      <c r="S575">
        <v>5</v>
      </c>
      <c r="T575" s="13">
        <f t="shared" si="11"/>
        <v>5</v>
      </c>
      <c r="U575" t="s">
        <v>26</v>
      </c>
    </row>
    <row r="576" spans="1:22" x14ac:dyDescent="0.3">
      <c r="A576">
        <v>9</v>
      </c>
      <c r="B576">
        <v>5</v>
      </c>
      <c r="C576">
        <v>207869</v>
      </c>
      <c r="D576" t="s">
        <v>22</v>
      </c>
      <c r="E576" s="10">
        <v>44094</v>
      </c>
      <c r="F576" t="s">
        <v>23</v>
      </c>
      <c r="G576" s="3" t="s">
        <v>155</v>
      </c>
      <c r="H576" t="s">
        <v>40</v>
      </c>
      <c r="S576">
        <v>1</v>
      </c>
      <c r="T576" s="13">
        <f t="shared" si="11"/>
        <v>1</v>
      </c>
      <c r="U576" t="s">
        <v>26</v>
      </c>
    </row>
    <row r="577" spans="1:22" x14ac:dyDescent="0.3">
      <c r="A577">
        <v>9</v>
      </c>
      <c r="B577">
        <v>5</v>
      </c>
      <c r="C577">
        <v>207869</v>
      </c>
      <c r="D577" t="s">
        <v>22</v>
      </c>
      <c r="E577" s="10">
        <v>44094</v>
      </c>
      <c r="F577" t="s">
        <v>23</v>
      </c>
      <c r="G577" s="3" t="s">
        <v>155</v>
      </c>
      <c r="H577" t="s">
        <v>49</v>
      </c>
      <c r="S577">
        <v>1</v>
      </c>
      <c r="T577" s="13">
        <f t="shared" si="11"/>
        <v>1</v>
      </c>
      <c r="U577" t="s">
        <v>26</v>
      </c>
    </row>
    <row r="578" spans="1:22" x14ac:dyDescent="0.3">
      <c r="A578">
        <v>9</v>
      </c>
      <c r="B578">
        <v>5</v>
      </c>
      <c r="C578">
        <v>207869</v>
      </c>
      <c r="D578" t="s">
        <v>22</v>
      </c>
      <c r="E578" s="10">
        <v>44094</v>
      </c>
      <c r="F578" t="s">
        <v>23</v>
      </c>
      <c r="G578" s="3" t="s">
        <v>155</v>
      </c>
      <c r="H578" t="s">
        <v>42</v>
      </c>
      <c r="S578">
        <v>1</v>
      </c>
      <c r="T578" s="13">
        <f t="shared" si="11"/>
        <v>1</v>
      </c>
      <c r="U578" t="s">
        <v>26</v>
      </c>
    </row>
    <row r="579" spans="1:22" x14ac:dyDescent="0.3">
      <c r="A579">
        <v>9</v>
      </c>
      <c r="B579">
        <v>5</v>
      </c>
      <c r="C579">
        <v>207869</v>
      </c>
      <c r="D579" t="s">
        <v>22</v>
      </c>
      <c r="E579" s="10">
        <v>44094</v>
      </c>
      <c r="F579" t="s">
        <v>23</v>
      </c>
      <c r="G579" s="3" t="s">
        <v>155</v>
      </c>
      <c r="H579" t="s">
        <v>55</v>
      </c>
      <c r="S579">
        <v>1</v>
      </c>
      <c r="T579" s="13">
        <f t="shared" si="11"/>
        <v>1</v>
      </c>
      <c r="U579" t="s">
        <v>26</v>
      </c>
    </row>
    <row r="580" spans="1:22" x14ac:dyDescent="0.3">
      <c r="A580">
        <v>9</v>
      </c>
      <c r="B580">
        <v>5</v>
      </c>
      <c r="C580">
        <v>207869</v>
      </c>
      <c r="D580" t="s">
        <v>22</v>
      </c>
      <c r="E580" s="10">
        <v>44094</v>
      </c>
      <c r="F580" t="s">
        <v>23</v>
      </c>
      <c r="G580" s="3" t="s">
        <v>155</v>
      </c>
      <c r="H580" t="s">
        <v>56</v>
      </c>
      <c r="S580">
        <v>4</v>
      </c>
      <c r="T580" s="13">
        <f t="shared" si="11"/>
        <v>4</v>
      </c>
      <c r="U580" t="s">
        <v>26</v>
      </c>
    </row>
    <row r="581" spans="1:22" x14ac:dyDescent="0.3">
      <c r="A581">
        <v>9</v>
      </c>
      <c r="B581">
        <v>5</v>
      </c>
      <c r="C581">
        <v>207869</v>
      </c>
      <c r="D581" t="s">
        <v>22</v>
      </c>
      <c r="E581" s="10">
        <v>44094</v>
      </c>
      <c r="F581" t="s">
        <v>23</v>
      </c>
      <c r="G581" s="3" t="s">
        <v>155</v>
      </c>
      <c r="H581" t="s">
        <v>278</v>
      </c>
      <c r="S581">
        <v>1</v>
      </c>
      <c r="T581" s="13">
        <f t="shared" si="11"/>
        <v>1</v>
      </c>
      <c r="U581" t="s">
        <v>26</v>
      </c>
    </row>
    <row r="582" spans="1:22" s="5" customFormat="1" ht="16.2" thickBot="1" x14ac:dyDescent="0.35">
      <c r="A582" s="5">
        <v>9</v>
      </c>
      <c r="B582" s="5">
        <v>5</v>
      </c>
      <c r="C582" s="5">
        <v>207869</v>
      </c>
      <c r="D582" s="5" t="s">
        <v>22</v>
      </c>
      <c r="E582" s="11">
        <v>44094</v>
      </c>
      <c r="F582" s="5" t="s">
        <v>23</v>
      </c>
      <c r="G582" s="6" t="s">
        <v>155</v>
      </c>
      <c r="H582" s="5" t="s">
        <v>57</v>
      </c>
      <c r="S582" s="5">
        <v>2</v>
      </c>
      <c r="T582" s="12">
        <f t="shared" si="11"/>
        <v>2</v>
      </c>
      <c r="U582" s="5" t="s">
        <v>26</v>
      </c>
      <c r="V582" s="14"/>
    </row>
    <row r="583" spans="1:22" x14ac:dyDescent="0.3">
      <c r="A583">
        <v>10</v>
      </c>
      <c r="B583">
        <v>5</v>
      </c>
      <c r="C583">
        <v>207870</v>
      </c>
      <c r="D583" t="s">
        <v>22</v>
      </c>
      <c r="E583" s="10">
        <v>44094</v>
      </c>
      <c r="F583" t="s">
        <v>23</v>
      </c>
      <c r="G583" s="3" t="s">
        <v>52</v>
      </c>
      <c r="H583" t="s">
        <v>244</v>
      </c>
      <c r="S583">
        <v>1</v>
      </c>
      <c r="T583" s="13">
        <f t="shared" si="11"/>
        <v>1</v>
      </c>
      <c r="U583" t="s">
        <v>53</v>
      </c>
      <c r="V583" s="15" t="s">
        <v>94</v>
      </c>
    </row>
    <row r="584" spans="1:22" x14ac:dyDescent="0.3">
      <c r="A584">
        <v>10</v>
      </c>
      <c r="B584">
        <v>5</v>
      </c>
      <c r="C584">
        <v>207870</v>
      </c>
      <c r="D584" t="s">
        <v>22</v>
      </c>
      <c r="E584" s="10">
        <v>44094</v>
      </c>
      <c r="F584" t="s">
        <v>23</v>
      </c>
      <c r="G584" s="3" t="s">
        <v>52</v>
      </c>
      <c r="H584" t="s">
        <v>141</v>
      </c>
      <c r="S584">
        <v>13</v>
      </c>
      <c r="T584" s="13">
        <f t="shared" si="11"/>
        <v>13</v>
      </c>
      <c r="U584" t="s">
        <v>53</v>
      </c>
    </row>
    <row r="585" spans="1:22" x14ac:dyDescent="0.3">
      <c r="A585">
        <v>10</v>
      </c>
      <c r="B585">
        <v>5</v>
      </c>
      <c r="C585">
        <v>207870</v>
      </c>
      <c r="D585" t="s">
        <v>22</v>
      </c>
      <c r="E585" s="10">
        <v>44094</v>
      </c>
      <c r="F585" t="s">
        <v>23</v>
      </c>
      <c r="G585" s="3" t="s">
        <v>52</v>
      </c>
      <c r="H585" t="s">
        <v>161</v>
      </c>
      <c r="S585">
        <v>1</v>
      </c>
      <c r="T585" s="13">
        <f t="shared" si="11"/>
        <v>1</v>
      </c>
      <c r="U585" t="s">
        <v>53</v>
      </c>
    </row>
    <row r="586" spans="1:22" x14ac:dyDescent="0.3">
      <c r="A586">
        <v>10</v>
      </c>
      <c r="B586">
        <v>5</v>
      </c>
      <c r="C586">
        <v>207870</v>
      </c>
      <c r="D586" t="s">
        <v>22</v>
      </c>
      <c r="E586" s="10">
        <v>44094</v>
      </c>
      <c r="F586" t="s">
        <v>23</v>
      </c>
      <c r="G586" s="3" t="s">
        <v>52</v>
      </c>
      <c r="H586" t="s">
        <v>82</v>
      </c>
      <c r="S586">
        <v>1</v>
      </c>
      <c r="T586" s="13">
        <f t="shared" si="11"/>
        <v>1</v>
      </c>
      <c r="U586" t="s">
        <v>53</v>
      </c>
    </row>
    <row r="587" spans="1:22" x14ac:dyDescent="0.3">
      <c r="A587">
        <v>10</v>
      </c>
      <c r="B587">
        <v>5</v>
      </c>
      <c r="C587">
        <v>207870</v>
      </c>
      <c r="D587" t="s">
        <v>22</v>
      </c>
      <c r="E587" s="10">
        <v>44094</v>
      </c>
      <c r="F587" t="s">
        <v>23</v>
      </c>
      <c r="G587" s="3" t="s">
        <v>52</v>
      </c>
      <c r="H587" t="s">
        <v>64</v>
      </c>
      <c r="S587">
        <v>11</v>
      </c>
      <c r="T587" s="13">
        <f t="shared" si="11"/>
        <v>11</v>
      </c>
      <c r="U587" t="s">
        <v>53</v>
      </c>
    </row>
    <row r="588" spans="1:22" x14ac:dyDescent="0.3">
      <c r="A588">
        <v>10</v>
      </c>
      <c r="B588">
        <v>5</v>
      </c>
      <c r="C588">
        <v>207870</v>
      </c>
      <c r="D588" t="s">
        <v>22</v>
      </c>
      <c r="E588" s="10">
        <v>44094</v>
      </c>
      <c r="F588" t="s">
        <v>23</v>
      </c>
      <c r="G588" s="3" t="s">
        <v>52</v>
      </c>
      <c r="H588" t="s">
        <v>67</v>
      </c>
      <c r="Q588">
        <v>1</v>
      </c>
      <c r="T588" s="13">
        <f t="shared" si="11"/>
        <v>1</v>
      </c>
      <c r="U588" t="s">
        <v>53</v>
      </c>
    </row>
    <row r="589" spans="1:22" x14ac:dyDescent="0.3">
      <c r="A589">
        <v>10</v>
      </c>
      <c r="B589">
        <v>5</v>
      </c>
      <c r="C589">
        <v>207870</v>
      </c>
      <c r="D589" t="s">
        <v>22</v>
      </c>
      <c r="E589" s="10">
        <v>44094</v>
      </c>
      <c r="F589" t="s">
        <v>23</v>
      </c>
      <c r="G589" s="3" t="s">
        <v>52</v>
      </c>
      <c r="H589" t="s">
        <v>272</v>
      </c>
      <c r="S589">
        <v>4</v>
      </c>
      <c r="T589" s="13">
        <f t="shared" si="11"/>
        <v>4</v>
      </c>
      <c r="U589" t="s">
        <v>53</v>
      </c>
    </row>
    <row r="590" spans="1:22" x14ac:dyDescent="0.3">
      <c r="A590">
        <v>10</v>
      </c>
      <c r="B590">
        <v>5</v>
      </c>
      <c r="C590">
        <v>207870</v>
      </c>
      <c r="D590" t="s">
        <v>22</v>
      </c>
      <c r="E590" s="10">
        <v>44094</v>
      </c>
      <c r="F590" t="s">
        <v>23</v>
      </c>
      <c r="G590" s="3" t="s">
        <v>52</v>
      </c>
      <c r="H590" t="s">
        <v>248</v>
      </c>
      <c r="S590">
        <v>3</v>
      </c>
      <c r="T590" s="13">
        <f t="shared" si="11"/>
        <v>3</v>
      </c>
      <c r="U590" t="s">
        <v>53</v>
      </c>
    </row>
    <row r="591" spans="1:22" x14ac:dyDescent="0.3">
      <c r="A591">
        <v>10</v>
      </c>
      <c r="B591">
        <v>5</v>
      </c>
      <c r="C591">
        <v>207870</v>
      </c>
      <c r="D591" t="s">
        <v>22</v>
      </c>
      <c r="E591" s="10">
        <v>44094</v>
      </c>
      <c r="F591" t="s">
        <v>23</v>
      </c>
      <c r="G591" s="3" t="s">
        <v>52</v>
      </c>
      <c r="H591" t="s">
        <v>38</v>
      </c>
      <c r="O591">
        <v>1</v>
      </c>
      <c r="P591">
        <v>4</v>
      </c>
      <c r="Q591">
        <v>4</v>
      </c>
      <c r="R591">
        <v>11</v>
      </c>
      <c r="T591" s="13">
        <f t="shared" si="11"/>
        <v>20</v>
      </c>
      <c r="U591" t="s">
        <v>144</v>
      </c>
    </row>
    <row r="592" spans="1:22" x14ac:dyDescent="0.3">
      <c r="A592">
        <v>10</v>
      </c>
      <c r="B592">
        <v>5</v>
      </c>
      <c r="C592">
        <v>207870</v>
      </c>
      <c r="D592" t="s">
        <v>22</v>
      </c>
      <c r="E592" s="10">
        <v>44094</v>
      </c>
      <c r="F592" t="s">
        <v>23</v>
      </c>
      <c r="G592" s="3" t="s">
        <v>52</v>
      </c>
      <c r="H592" t="s">
        <v>31</v>
      </c>
      <c r="O592">
        <v>1</v>
      </c>
      <c r="P592">
        <v>3</v>
      </c>
      <c r="Q592">
        <v>1</v>
      </c>
      <c r="R592">
        <v>3</v>
      </c>
      <c r="T592" s="13">
        <f t="shared" si="11"/>
        <v>8</v>
      </c>
      <c r="U592" t="s">
        <v>144</v>
      </c>
    </row>
    <row r="593" spans="1:21" x14ac:dyDescent="0.3">
      <c r="A593">
        <v>10</v>
      </c>
      <c r="B593">
        <v>5</v>
      </c>
      <c r="C593">
        <v>207870</v>
      </c>
      <c r="D593" t="s">
        <v>22</v>
      </c>
      <c r="E593" s="10">
        <v>44094</v>
      </c>
      <c r="F593" t="s">
        <v>23</v>
      </c>
      <c r="G593" s="3" t="s">
        <v>52</v>
      </c>
      <c r="H593" t="s">
        <v>46</v>
      </c>
      <c r="Q593">
        <v>4</v>
      </c>
      <c r="T593" s="13">
        <f t="shared" si="11"/>
        <v>4</v>
      </c>
      <c r="U593" t="s">
        <v>144</v>
      </c>
    </row>
    <row r="594" spans="1:21" x14ac:dyDescent="0.3">
      <c r="A594">
        <v>10</v>
      </c>
      <c r="B594">
        <v>5</v>
      </c>
      <c r="C594">
        <v>207870</v>
      </c>
      <c r="D594" t="s">
        <v>22</v>
      </c>
      <c r="E594" s="10">
        <v>44094</v>
      </c>
      <c r="F594" t="s">
        <v>23</v>
      </c>
      <c r="G594" s="3" t="s">
        <v>52</v>
      </c>
      <c r="H594" t="s">
        <v>37</v>
      </c>
      <c r="O594">
        <v>1</v>
      </c>
      <c r="Q594">
        <v>3</v>
      </c>
      <c r="R594">
        <v>2</v>
      </c>
      <c r="T594" s="13">
        <f t="shared" si="11"/>
        <v>6</v>
      </c>
      <c r="U594" t="s">
        <v>144</v>
      </c>
    </row>
    <row r="595" spans="1:21" x14ac:dyDescent="0.3">
      <c r="A595">
        <v>10</v>
      </c>
      <c r="B595">
        <v>5</v>
      </c>
      <c r="C595">
        <v>207870</v>
      </c>
      <c r="D595" t="s">
        <v>22</v>
      </c>
      <c r="E595" s="10">
        <v>44094</v>
      </c>
      <c r="F595" t="s">
        <v>23</v>
      </c>
      <c r="G595" s="3" t="s">
        <v>52</v>
      </c>
      <c r="H595" t="s">
        <v>30</v>
      </c>
      <c r="J595">
        <v>5</v>
      </c>
      <c r="T595" s="13">
        <f t="shared" si="11"/>
        <v>5</v>
      </c>
      <c r="U595" t="s">
        <v>144</v>
      </c>
    </row>
    <row r="596" spans="1:21" x14ac:dyDescent="0.3">
      <c r="A596">
        <v>10</v>
      </c>
      <c r="B596">
        <v>5</v>
      </c>
      <c r="C596">
        <v>207870</v>
      </c>
      <c r="D596" t="s">
        <v>22</v>
      </c>
      <c r="E596" s="10">
        <v>44094</v>
      </c>
      <c r="F596" t="s">
        <v>23</v>
      </c>
      <c r="G596" s="3" t="s">
        <v>52</v>
      </c>
      <c r="H596" t="s">
        <v>25</v>
      </c>
      <c r="P596">
        <v>1</v>
      </c>
      <c r="T596" s="13">
        <f t="shared" si="11"/>
        <v>1</v>
      </c>
      <c r="U596" t="s">
        <v>144</v>
      </c>
    </row>
    <row r="597" spans="1:21" x14ac:dyDescent="0.3">
      <c r="A597">
        <v>10</v>
      </c>
      <c r="B597">
        <v>5</v>
      </c>
      <c r="C597">
        <v>207870</v>
      </c>
      <c r="D597" t="s">
        <v>22</v>
      </c>
      <c r="E597" s="10">
        <v>44094</v>
      </c>
      <c r="F597" t="s">
        <v>23</v>
      </c>
      <c r="G597" s="3" t="s">
        <v>52</v>
      </c>
      <c r="H597" t="s">
        <v>45</v>
      </c>
      <c r="I597">
        <v>1</v>
      </c>
      <c r="K597">
        <v>2</v>
      </c>
      <c r="T597" s="13">
        <f t="shared" si="11"/>
        <v>3</v>
      </c>
      <c r="U597" t="s">
        <v>144</v>
      </c>
    </row>
    <row r="598" spans="1:21" x14ac:dyDescent="0.3">
      <c r="A598">
        <v>10</v>
      </c>
      <c r="B598">
        <v>5</v>
      </c>
      <c r="C598">
        <v>207870</v>
      </c>
      <c r="D598" t="s">
        <v>22</v>
      </c>
      <c r="E598" s="10">
        <v>44094</v>
      </c>
      <c r="F598" t="s">
        <v>23</v>
      </c>
      <c r="G598" s="3" t="s">
        <v>52</v>
      </c>
      <c r="H598" t="s">
        <v>33</v>
      </c>
      <c r="N598">
        <v>1</v>
      </c>
      <c r="O598">
        <v>1</v>
      </c>
      <c r="Q598">
        <v>1</v>
      </c>
      <c r="R598">
        <v>2</v>
      </c>
      <c r="T598" s="13">
        <f t="shared" si="11"/>
        <v>5</v>
      </c>
      <c r="U598" t="s">
        <v>144</v>
      </c>
    </row>
    <row r="599" spans="1:21" x14ac:dyDescent="0.3">
      <c r="A599">
        <v>10</v>
      </c>
      <c r="B599">
        <v>5</v>
      </c>
      <c r="C599">
        <v>207870</v>
      </c>
      <c r="D599" t="s">
        <v>22</v>
      </c>
      <c r="E599" s="10">
        <v>44094</v>
      </c>
      <c r="F599" t="s">
        <v>23</v>
      </c>
      <c r="G599" s="3" t="s">
        <v>52</v>
      </c>
      <c r="H599" t="s">
        <v>41</v>
      </c>
      <c r="S599">
        <v>1</v>
      </c>
      <c r="T599" s="13">
        <f t="shared" si="11"/>
        <v>1</v>
      </c>
      <c r="U599" t="s">
        <v>144</v>
      </c>
    </row>
    <row r="600" spans="1:21" x14ac:dyDescent="0.3">
      <c r="A600">
        <v>10</v>
      </c>
      <c r="B600">
        <v>5</v>
      </c>
      <c r="C600">
        <v>207870</v>
      </c>
      <c r="D600" t="s">
        <v>22</v>
      </c>
      <c r="E600" s="10">
        <v>44094</v>
      </c>
      <c r="F600" t="s">
        <v>23</v>
      </c>
      <c r="G600" s="3" t="s">
        <v>155</v>
      </c>
      <c r="H600" t="s">
        <v>25</v>
      </c>
      <c r="M600">
        <v>3</v>
      </c>
      <c r="N600">
        <v>5</v>
      </c>
      <c r="O600">
        <v>17</v>
      </c>
      <c r="P600">
        <v>49</v>
      </c>
      <c r="Q600">
        <v>3</v>
      </c>
      <c r="T600" s="13">
        <f t="shared" si="11"/>
        <v>77</v>
      </c>
      <c r="U600" t="s">
        <v>144</v>
      </c>
    </row>
    <row r="601" spans="1:21" x14ac:dyDescent="0.3">
      <c r="A601">
        <v>10</v>
      </c>
      <c r="B601">
        <v>5</v>
      </c>
      <c r="C601">
        <v>207870</v>
      </c>
      <c r="D601" t="s">
        <v>22</v>
      </c>
      <c r="E601" s="10">
        <v>44094</v>
      </c>
      <c r="F601" t="s">
        <v>23</v>
      </c>
      <c r="G601" s="3" t="s">
        <v>155</v>
      </c>
      <c r="H601" t="s">
        <v>69</v>
      </c>
      <c r="I601">
        <v>1</v>
      </c>
      <c r="T601" s="13">
        <f t="shared" si="11"/>
        <v>1</v>
      </c>
      <c r="U601" t="s">
        <v>144</v>
      </c>
    </row>
    <row r="602" spans="1:21" x14ac:dyDescent="0.3">
      <c r="A602">
        <v>10</v>
      </c>
      <c r="B602">
        <v>5</v>
      </c>
      <c r="C602">
        <v>207870</v>
      </c>
      <c r="D602" t="s">
        <v>22</v>
      </c>
      <c r="E602" s="10">
        <v>44094</v>
      </c>
      <c r="F602" t="s">
        <v>23</v>
      </c>
      <c r="G602" s="3" t="s">
        <v>162</v>
      </c>
      <c r="H602" t="s">
        <v>44</v>
      </c>
      <c r="N602">
        <v>1</v>
      </c>
      <c r="T602" s="13">
        <f t="shared" si="11"/>
        <v>1</v>
      </c>
      <c r="U602" t="s">
        <v>144</v>
      </c>
    </row>
    <row r="603" spans="1:21" x14ac:dyDescent="0.3">
      <c r="A603">
        <v>10</v>
      </c>
      <c r="B603">
        <v>5</v>
      </c>
      <c r="C603">
        <v>207870</v>
      </c>
      <c r="D603" t="s">
        <v>22</v>
      </c>
      <c r="E603" s="10">
        <v>44094</v>
      </c>
      <c r="F603" t="s">
        <v>23</v>
      </c>
      <c r="G603" s="3" t="s">
        <v>162</v>
      </c>
      <c r="H603" t="s">
        <v>98</v>
      </c>
      <c r="Q603">
        <v>3</v>
      </c>
      <c r="T603" s="13">
        <f t="shared" si="11"/>
        <v>3</v>
      </c>
      <c r="U603" t="s">
        <v>144</v>
      </c>
    </row>
    <row r="604" spans="1:21" x14ac:dyDescent="0.3">
      <c r="A604">
        <v>10</v>
      </c>
      <c r="B604">
        <v>5</v>
      </c>
      <c r="C604">
        <v>207870</v>
      </c>
      <c r="D604" t="s">
        <v>22</v>
      </c>
      <c r="E604" s="10">
        <v>44094</v>
      </c>
      <c r="F604" t="s">
        <v>23</v>
      </c>
      <c r="G604" s="3" t="s">
        <v>162</v>
      </c>
      <c r="H604" t="s">
        <v>35</v>
      </c>
      <c r="Q604">
        <v>1</v>
      </c>
      <c r="T604" s="13">
        <f t="shared" si="11"/>
        <v>1</v>
      </c>
      <c r="U604" t="s">
        <v>144</v>
      </c>
    </row>
    <row r="605" spans="1:21" x14ac:dyDescent="0.3">
      <c r="A605">
        <v>10</v>
      </c>
      <c r="B605">
        <v>5</v>
      </c>
      <c r="C605">
        <v>207870</v>
      </c>
      <c r="D605" t="s">
        <v>22</v>
      </c>
      <c r="E605" s="10">
        <v>44094</v>
      </c>
      <c r="F605" t="s">
        <v>23</v>
      </c>
      <c r="G605" s="3" t="s">
        <v>162</v>
      </c>
      <c r="H605" t="s">
        <v>150</v>
      </c>
      <c r="M605">
        <v>2</v>
      </c>
      <c r="N605">
        <v>1</v>
      </c>
      <c r="O605">
        <v>2</v>
      </c>
      <c r="P605">
        <v>2</v>
      </c>
      <c r="Q605">
        <v>2</v>
      </c>
      <c r="R605">
        <v>17</v>
      </c>
      <c r="T605" s="13">
        <f t="shared" si="11"/>
        <v>26</v>
      </c>
      <c r="U605" t="s">
        <v>144</v>
      </c>
    </row>
    <row r="606" spans="1:21" x14ac:dyDescent="0.3">
      <c r="A606">
        <v>10</v>
      </c>
      <c r="B606">
        <v>5</v>
      </c>
      <c r="C606">
        <v>207870</v>
      </c>
      <c r="D606" t="s">
        <v>22</v>
      </c>
      <c r="E606" s="10">
        <v>44094</v>
      </c>
      <c r="F606" t="s">
        <v>23</v>
      </c>
      <c r="G606" s="3" t="s">
        <v>162</v>
      </c>
      <c r="H606" t="s">
        <v>30</v>
      </c>
      <c r="I606">
        <v>5</v>
      </c>
      <c r="J606">
        <v>5</v>
      </c>
      <c r="T606" s="13">
        <f t="shared" si="11"/>
        <v>10</v>
      </c>
      <c r="U606" t="s">
        <v>144</v>
      </c>
    </row>
    <row r="607" spans="1:21" x14ac:dyDescent="0.3">
      <c r="A607">
        <v>10</v>
      </c>
      <c r="B607">
        <v>5</v>
      </c>
      <c r="C607">
        <v>207870</v>
      </c>
      <c r="D607" t="s">
        <v>22</v>
      </c>
      <c r="E607" s="10">
        <v>44094</v>
      </c>
      <c r="F607" t="s">
        <v>23</v>
      </c>
      <c r="G607" s="3" t="s">
        <v>162</v>
      </c>
      <c r="H607" t="s">
        <v>67</v>
      </c>
      <c r="M607">
        <v>1</v>
      </c>
      <c r="Q607">
        <v>1</v>
      </c>
      <c r="T607" s="13">
        <f t="shared" si="11"/>
        <v>2</v>
      </c>
      <c r="U607" t="s">
        <v>144</v>
      </c>
    </row>
    <row r="608" spans="1:21" x14ac:dyDescent="0.3">
      <c r="A608">
        <v>10</v>
      </c>
      <c r="B608">
        <v>5</v>
      </c>
      <c r="C608">
        <v>207870</v>
      </c>
      <c r="D608" t="s">
        <v>22</v>
      </c>
      <c r="E608" s="10">
        <v>44094</v>
      </c>
      <c r="F608" t="s">
        <v>23</v>
      </c>
      <c r="G608" s="3" t="s">
        <v>162</v>
      </c>
      <c r="H608" t="s">
        <v>31</v>
      </c>
      <c r="O608">
        <v>4</v>
      </c>
      <c r="P608">
        <v>14</v>
      </c>
      <c r="Q608">
        <v>17</v>
      </c>
      <c r="R608">
        <v>6</v>
      </c>
      <c r="T608" s="13">
        <f t="shared" si="11"/>
        <v>41</v>
      </c>
      <c r="U608" t="s">
        <v>144</v>
      </c>
    </row>
    <row r="609" spans="1:22" x14ac:dyDescent="0.3">
      <c r="A609">
        <v>10</v>
      </c>
      <c r="B609">
        <v>5</v>
      </c>
      <c r="C609">
        <v>207870</v>
      </c>
      <c r="D609" t="s">
        <v>22</v>
      </c>
      <c r="E609" s="10">
        <v>44094</v>
      </c>
      <c r="F609" t="s">
        <v>23</v>
      </c>
      <c r="G609" s="3" t="s">
        <v>162</v>
      </c>
      <c r="H609" t="s">
        <v>37</v>
      </c>
      <c r="O609">
        <v>11</v>
      </c>
      <c r="P609">
        <v>9</v>
      </c>
      <c r="Q609">
        <v>21</v>
      </c>
      <c r="R609">
        <v>5</v>
      </c>
      <c r="T609" s="13">
        <f t="shared" si="11"/>
        <v>46</v>
      </c>
      <c r="U609" t="s">
        <v>144</v>
      </c>
    </row>
    <row r="610" spans="1:22" x14ac:dyDescent="0.3">
      <c r="A610">
        <v>10</v>
      </c>
      <c r="B610">
        <v>5</v>
      </c>
      <c r="C610">
        <v>207870</v>
      </c>
      <c r="D610" t="s">
        <v>22</v>
      </c>
      <c r="E610" s="10">
        <v>44094</v>
      </c>
      <c r="F610" t="s">
        <v>23</v>
      </c>
      <c r="G610" s="3" t="s">
        <v>162</v>
      </c>
      <c r="H610" t="s">
        <v>32</v>
      </c>
      <c r="O610">
        <v>6</v>
      </c>
      <c r="T610" s="13">
        <f t="shared" si="11"/>
        <v>6</v>
      </c>
      <c r="U610" t="s">
        <v>144</v>
      </c>
    </row>
    <row r="611" spans="1:22" x14ac:dyDescent="0.3">
      <c r="A611">
        <v>10</v>
      </c>
      <c r="B611">
        <v>5</v>
      </c>
      <c r="C611">
        <v>207870</v>
      </c>
      <c r="D611" t="s">
        <v>22</v>
      </c>
      <c r="E611" s="10">
        <v>44094</v>
      </c>
      <c r="F611" t="s">
        <v>23</v>
      </c>
      <c r="G611" s="3" t="s">
        <v>162</v>
      </c>
      <c r="H611" t="s">
        <v>34</v>
      </c>
      <c r="Q611">
        <v>3</v>
      </c>
      <c r="T611" s="13">
        <f t="shared" si="11"/>
        <v>3</v>
      </c>
      <c r="U611" t="s">
        <v>144</v>
      </c>
    </row>
    <row r="612" spans="1:22" x14ac:dyDescent="0.3">
      <c r="A612">
        <v>10</v>
      </c>
      <c r="B612">
        <v>5</v>
      </c>
      <c r="C612">
        <v>207870</v>
      </c>
      <c r="D612" t="s">
        <v>22</v>
      </c>
      <c r="E612" s="10">
        <v>44094</v>
      </c>
      <c r="F612" t="s">
        <v>23</v>
      </c>
      <c r="G612" s="3" t="s">
        <v>162</v>
      </c>
      <c r="H612" t="s">
        <v>38</v>
      </c>
      <c r="P612">
        <v>12</v>
      </c>
      <c r="Q612">
        <v>39</v>
      </c>
      <c r="R612">
        <v>32</v>
      </c>
      <c r="T612" s="13">
        <f t="shared" si="11"/>
        <v>83</v>
      </c>
      <c r="U612" t="s">
        <v>144</v>
      </c>
    </row>
    <row r="613" spans="1:22" x14ac:dyDescent="0.3">
      <c r="A613">
        <v>10</v>
      </c>
      <c r="B613">
        <v>5</v>
      </c>
      <c r="C613">
        <v>207870</v>
      </c>
      <c r="D613" t="s">
        <v>22</v>
      </c>
      <c r="E613" s="10">
        <v>44094</v>
      </c>
      <c r="F613" t="s">
        <v>23</v>
      </c>
      <c r="G613" s="3" t="s">
        <v>162</v>
      </c>
      <c r="H613" t="s">
        <v>34</v>
      </c>
      <c r="P613">
        <v>1</v>
      </c>
      <c r="R613">
        <v>3</v>
      </c>
      <c r="T613" s="13">
        <f t="shared" si="11"/>
        <v>4</v>
      </c>
      <c r="U613" t="s">
        <v>144</v>
      </c>
    </row>
    <row r="614" spans="1:22" x14ac:dyDescent="0.3">
      <c r="A614">
        <v>10</v>
      </c>
      <c r="B614">
        <v>5</v>
      </c>
      <c r="C614">
        <v>207870</v>
      </c>
      <c r="D614" t="s">
        <v>22</v>
      </c>
      <c r="E614" s="10">
        <v>44094</v>
      </c>
      <c r="F614" t="s">
        <v>23</v>
      </c>
      <c r="G614" s="3" t="s">
        <v>162</v>
      </c>
      <c r="H614" t="s">
        <v>43</v>
      </c>
      <c r="K614">
        <v>1</v>
      </c>
      <c r="T614" s="13">
        <f t="shared" si="11"/>
        <v>1</v>
      </c>
      <c r="U614" t="s">
        <v>144</v>
      </c>
    </row>
    <row r="615" spans="1:22" x14ac:dyDescent="0.3">
      <c r="A615">
        <v>10</v>
      </c>
      <c r="B615">
        <v>5</v>
      </c>
      <c r="C615">
        <v>207870</v>
      </c>
      <c r="D615" t="s">
        <v>22</v>
      </c>
      <c r="E615" s="10">
        <v>44094</v>
      </c>
      <c r="F615" t="s">
        <v>23</v>
      </c>
      <c r="G615" s="3" t="s">
        <v>162</v>
      </c>
      <c r="H615" t="s">
        <v>55</v>
      </c>
      <c r="S615">
        <v>3</v>
      </c>
      <c r="T615" s="13">
        <f t="shared" si="11"/>
        <v>3</v>
      </c>
      <c r="U615" t="s">
        <v>144</v>
      </c>
    </row>
    <row r="616" spans="1:22" x14ac:dyDescent="0.3">
      <c r="A616">
        <v>10</v>
      </c>
      <c r="B616">
        <v>5</v>
      </c>
      <c r="C616">
        <v>207870</v>
      </c>
      <c r="D616" t="s">
        <v>22</v>
      </c>
      <c r="E616" s="10">
        <v>44094</v>
      </c>
      <c r="F616" t="s">
        <v>23</v>
      </c>
      <c r="G616" s="3" t="s">
        <v>162</v>
      </c>
      <c r="H616" t="s">
        <v>41</v>
      </c>
      <c r="S616">
        <v>3</v>
      </c>
      <c r="T616" s="13">
        <f t="shared" si="11"/>
        <v>3</v>
      </c>
      <c r="U616" t="s">
        <v>144</v>
      </c>
    </row>
    <row r="617" spans="1:22" x14ac:dyDescent="0.3">
      <c r="A617">
        <v>10</v>
      </c>
      <c r="B617">
        <v>5</v>
      </c>
      <c r="C617">
        <v>207870</v>
      </c>
      <c r="D617" t="s">
        <v>22</v>
      </c>
      <c r="E617" s="10">
        <v>44094</v>
      </c>
      <c r="F617" t="s">
        <v>23</v>
      </c>
      <c r="G617" s="3" t="s">
        <v>162</v>
      </c>
      <c r="H617" t="s">
        <v>161</v>
      </c>
      <c r="S617">
        <v>2</v>
      </c>
      <c r="T617" s="13">
        <f t="shared" si="11"/>
        <v>2</v>
      </c>
      <c r="U617" t="s">
        <v>144</v>
      </c>
    </row>
    <row r="618" spans="1:22" x14ac:dyDescent="0.3">
      <c r="A618">
        <v>10</v>
      </c>
      <c r="B618">
        <v>5</v>
      </c>
      <c r="C618">
        <v>207870</v>
      </c>
      <c r="D618" t="s">
        <v>22</v>
      </c>
      <c r="E618" s="10">
        <v>44094</v>
      </c>
      <c r="F618" t="s">
        <v>23</v>
      </c>
      <c r="G618" s="3" t="s">
        <v>162</v>
      </c>
      <c r="H618" t="s">
        <v>79</v>
      </c>
      <c r="S618">
        <v>1</v>
      </c>
      <c r="T618" s="13">
        <f t="shared" si="11"/>
        <v>1</v>
      </c>
      <c r="U618" t="s">
        <v>144</v>
      </c>
    </row>
    <row r="619" spans="1:22" x14ac:dyDescent="0.3">
      <c r="A619">
        <v>10</v>
      </c>
      <c r="B619">
        <v>5</v>
      </c>
      <c r="C619">
        <v>207870</v>
      </c>
      <c r="D619" t="s">
        <v>22</v>
      </c>
      <c r="E619" s="10">
        <v>44094</v>
      </c>
      <c r="F619" t="s">
        <v>23</v>
      </c>
      <c r="G619" s="3" t="s">
        <v>162</v>
      </c>
      <c r="H619" t="s">
        <v>56</v>
      </c>
      <c r="S619">
        <v>2</v>
      </c>
      <c r="T619" s="13">
        <f t="shared" si="11"/>
        <v>2</v>
      </c>
      <c r="U619" t="s">
        <v>144</v>
      </c>
    </row>
    <row r="620" spans="1:22" x14ac:dyDescent="0.3">
      <c r="A620">
        <v>10</v>
      </c>
      <c r="B620">
        <v>5</v>
      </c>
      <c r="C620">
        <v>207870</v>
      </c>
      <c r="D620" t="s">
        <v>22</v>
      </c>
      <c r="E620" s="10">
        <v>44094</v>
      </c>
      <c r="F620" t="s">
        <v>23</v>
      </c>
      <c r="G620" s="3" t="s">
        <v>162</v>
      </c>
      <c r="H620" t="s">
        <v>49</v>
      </c>
      <c r="S620">
        <v>1</v>
      </c>
      <c r="T620" s="13">
        <f t="shared" si="11"/>
        <v>1</v>
      </c>
      <c r="U620" t="s">
        <v>144</v>
      </c>
    </row>
    <row r="621" spans="1:22" x14ac:dyDescent="0.3">
      <c r="A621">
        <v>10</v>
      </c>
      <c r="B621">
        <v>5</v>
      </c>
      <c r="C621">
        <v>207870</v>
      </c>
      <c r="D621" t="s">
        <v>22</v>
      </c>
      <c r="E621" s="10">
        <v>44094</v>
      </c>
      <c r="F621" t="s">
        <v>23</v>
      </c>
      <c r="G621" s="3" t="s">
        <v>162</v>
      </c>
      <c r="H621" t="s">
        <v>163</v>
      </c>
      <c r="S621">
        <v>1</v>
      </c>
      <c r="T621" s="13">
        <f t="shared" si="11"/>
        <v>1</v>
      </c>
      <c r="U621" t="s">
        <v>144</v>
      </c>
    </row>
    <row r="622" spans="1:22" x14ac:dyDescent="0.3">
      <c r="A622">
        <v>10</v>
      </c>
      <c r="B622">
        <v>5</v>
      </c>
      <c r="C622">
        <v>207870</v>
      </c>
      <c r="D622" t="s">
        <v>22</v>
      </c>
      <c r="E622" s="10">
        <v>44094</v>
      </c>
      <c r="F622" t="s">
        <v>23</v>
      </c>
      <c r="G622" s="3" t="s">
        <v>162</v>
      </c>
      <c r="H622" t="s">
        <v>51</v>
      </c>
      <c r="S622">
        <v>1</v>
      </c>
      <c r="T622" s="13">
        <f t="shared" si="11"/>
        <v>1</v>
      </c>
      <c r="U622" t="s">
        <v>144</v>
      </c>
    </row>
    <row r="623" spans="1:22" x14ac:dyDescent="0.3">
      <c r="A623">
        <v>10</v>
      </c>
      <c r="B623">
        <v>5</v>
      </c>
      <c r="C623">
        <v>207870</v>
      </c>
      <c r="D623" t="s">
        <v>22</v>
      </c>
      <c r="E623" s="10">
        <v>44094</v>
      </c>
      <c r="F623" t="s">
        <v>23</v>
      </c>
      <c r="G623" s="3" t="s">
        <v>162</v>
      </c>
      <c r="H623" t="s">
        <v>45</v>
      </c>
      <c r="I623">
        <v>1</v>
      </c>
      <c r="K623">
        <v>5</v>
      </c>
      <c r="T623" s="13">
        <f t="shared" si="11"/>
        <v>6</v>
      </c>
      <c r="U623" t="s">
        <v>144</v>
      </c>
    </row>
    <row r="624" spans="1:22" s="5" customFormat="1" ht="16.2" thickBot="1" x14ac:dyDescent="0.35">
      <c r="A624" s="5">
        <v>10</v>
      </c>
      <c r="B624" s="5">
        <v>5</v>
      </c>
      <c r="C624" s="5">
        <v>207870</v>
      </c>
      <c r="D624" s="5" t="s">
        <v>22</v>
      </c>
      <c r="E624" s="11">
        <v>44094</v>
      </c>
      <c r="F624" s="5" t="s">
        <v>23</v>
      </c>
      <c r="G624" s="6" t="s">
        <v>162</v>
      </c>
      <c r="H624" s="5" t="s">
        <v>46</v>
      </c>
      <c r="Q624" s="5">
        <v>18</v>
      </c>
      <c r="T624" s="12">
        <f t="shared" si="11"/>
        <v>18</v>
      </c>
      <c r="U624" s="5" t="s">
        <v>144</v>
      </c>
      <c r="V624" s="14"/>
    </row>
    <row r="625" spans="1:22" ht="46.8" x14ac:dyDescent="0.3">
      <c r="A625">
        <v>11</v>
      </c>
      <c r="B625">
        <v>1</v>
      </c>
      <c r="C625">
        <v>207871</v>
      </c>
      <c r="D625" t="s">
        <v>58</v>
      </c>
      <c r="E625" s="10">
        <v>44095</v>
      </c>
      <c r="F625" t="s">
        <v>23</v>
      </c>
      <c r="G625" s="3" t="s">
        <v>73</v>
      </c>
      <c r="H625" t="s">
        <v>25</v>
      </c>
      <c r="O625">
        <v>11</v>
      </c>
      <c r="P625">
        <v>127</v>
      </c>
      <c r="Q625">
        <v>5</v>
      </c>
      <c r="T625" s="13">
        <f t="shared" si="11"/>
        <v>143</v>
      </c>
      <c r="U625" t="s">
        <v>144</v>
      </c>
      <c r="V625" s="15" t="s">
        <v>166</v>
      </c>
    </row>
    <row r="626" spans="1:22" x14ac:dyDescent="0.3">
      <c r="A626">
        <v>11</v>
      </c>
      <c r="B626">
        <v>1</v>
      </c>
      <c r="C626">
        <v>207871</v>
      </c>
      <c r="D626" t="s">
        <v>58</v>
      </c>
      <c r="E626" s="10">
        <v>44095</v>
      </c>
      <c r="F626" t="s">
        <v>23</v>
      </c>
      <c r="G626" s="3" t="s">
        <v>73</v>
      </c>
      <c r="H626" t="s">
        <v>27</v>
      </c>
      <c r="P626">
        <v>1</v>
      </c>
      <c r="T626" s="13">
        <f t="shared" si="11"/>
        <v>1</v>
      </c>
      <c r="U626" t="s">
        <v>144</v>
      </c>
    </row>
    <row r="627" spans="1:22" x14ac:dyDescent="0.3">
      <c r="A627">
        <v>11</v>
      </c>
      <c r="B627">
        <v>1</v>
      </c>
      <c r="C627">
        <v>207871</v>
      </c>
      <c r="D627" t="s">
        <v>58</v>
      </c>
      <c r="E627" s="10">
        <v>44095</v>
      </c>
      <c r="F627" t="s">
        <v>23</v>
      </c>
      <c r="G627" s="3" t="s">
        <v>73</v>
      </c>
      <c r="H627" t="s">
        <v>30</v>
      </c>
      <c r="I627">
        <v>7</v>
      </c>
      <c r="J627">
        <v>3</v>
      </c>
      <c r="T627" s="13">
        <f t="shared" si="11"/>
        <v>10</v>
      </c>
      <c r="U627" t="s">
        <v>144</v>
      </c>
    </row>
    <row r="628" spans="1:22" x14ac:dyDescent="0.3">
      <c r="A628">
        <v>11</v>
      </c>
      <c r="B628">
        <v>1</v>
      </c>
      <c r="C628">
        <v>207871</v>
      </c>
      <c r="D628" t="s">
        <v>58</v>
      </c>
      <c r="E628" s="10">
        <v>44095</v>
      </c>
      <c r="F628" t="s">
        <v>23</v>
      </c>
      <c r="G628" s="3" t="s">
        <v>73</v>
      </c>
      <c r="H628" t="s">
        <v>67</v>
      </c>
      <c r="Q628">
        <v>3</v>
      </c>
      <c r="R628">
        <v>1</v>
      </c>
      <c r="T628" s="13">
        <f t="shared" si="11"/>
        <v>4</v>
      </c>
      <c r="U628" t="s">
        <v>144</v>
      </c>
    </row>
    <row r="629" spans="1:22" x14ac:dyDescent="0.3">
      <c r="A629">
        <v>11</v>
      </c>
      <c r="B629">
        <v>1</v>
      </c>
      <c r="C629">
        <v>207871</v>
      </c>
      <c r="D629" t="s">
        <v>58</v>
      </c>
      <c r="E629" s="10">
        <v>44095</v>
      </c>
      <c r="F629" t="s">
        <v>23</v>
      </c>
      <c r="G629" s="3" t="s">
        <v>73</v>
      </c>
      <c r="H629" t="s">
        <v>31</v>
      </c>
      <c r="P629">
        <v>1</v>
      </c>
      <c r="Q629">
        <v>6</v>
      </c>
      <c r="R629">
        <v>1</v>
      </c>
      <c r="T629" s="13">
        <f t="shared" si="11"/>
        <v>8</v>
      </c>
      <c r="U629" t="s">
        <v>144</v>
      </c>
    </row>
    <row r="630" spans="1:22" x14ac:dyDescent="0.3">
      <c r="A630">
        <v>11</v>
      </c>
      <c r="B630">
        <v>1</v>
      </c>
      <c r="C630">
        <v>207871</v>
      </c>
      <c r="D630" t="s">
        <v>58</v>
      </c>
      <c r="E630" s="10">
        <v>44095</v>
      </c>
      <c r="F630" t="s">
        <v>23</v>
      </c>
      <c r="G630" s="3" t="s">
        <v>73</v>
      </c>
      <c r="H630" t="s">
        <v>34</v>
      </c>
      <c r="P630">
        <v>2</v>
      </c>
      <c r="Q630">
        <v>22</v>
      </c>
      <c r="R630">
        <v>10</v>
      </c>
      <c r="T630" s="13">
        <f t="shared" si="11"/>
        <v>34</v>
      </c>
      <c r="U630" t="s">
        <v>144</v>
      </c>
    </row>
    <row r="631" spans="1:22" x14ac:dyDescent="0.3">
      <c r="A631">
        <v>11</v>
      </c>
      <c r="B631">
        <v>1</v>
      </c>
      <c r="C631">
        <v>207871</v>
      </c>
      <c r="D631" t="s">
        <v>58</v>
      </c>
      <c r="E631" s="10">
        <v>44095</v>
      </c>
      <c r="F631" t="s">
        <v>23</v>
      </c>
      <c r="G631" s="3" t="s">
        <v>73</v>
      </c>
      <c r="H631" t="s">
        <v>38</v>
      </c>
      <c r="P631">
        <v>2</v>
      </c>
      <c r="T631" s="13">
        <f t="shared" si="11"/>
        <v>2</v>
      </c>
      <c r="U631" t="s">
        <v>144</v>
      </c>
    </row>
    <row r="632" spans="1:22" x14ac:dyDescent="0.3">
      <c r="A632">
        <v>11</v>
      </c>
      <c r="B632">
        <v>1</v>
      </c>
      <c r="C632">
        <v>207871</v>
      </c>
      <c r="D632" t="s">
        <v>58</v>
      </c>
      <c r="E632" s="10">
        <v>44095</v>
      </c>
      <c r="F632" t="s">
        <v>23</v>
      </c>
      <c r="G632" s="3" t="s">
        <v>73</v>
      </c>
      <c r="H632" t="s">
        <v>164</v>
      </c>
      <c r="S632">
        <v>1</v>
      </c>
      <c r="T632" s="13">
        <f t="shared" ref="T632:T695" si="12">SUM(I632:S632)</f>
        <v>1</v>
      </c>
      <c r="U632" t="s">
        <v>144</v>
      </c>
    </row>
    <row r="633" spans="1:22" x14ac:dyDescent="0.3">
      <c r="A633">
        <v>11</v>
      </c>
      <c r="B633">
        <v>1</v>
      </c>
      <c r="C633">
        <v>207871</v>
      </c>
      <c r="D633" t="s">
        <v>58</v>
      </c>
      <c r="E633" s="10">
        <v>44095</v>
      </c>
      <c r="F633" t="s">
        <v>23</v>
      </c>
      <c r="G633" s="3" t="s">
        <v>73</v>
      </c>
      <c r="H633" t="s">
        <v>79</v>
      </c>
      <c r="S633">
        <v>2</v>
      </c>
      <c r="T633" s="13">
        <f t="shared" si="12"/>
        <v>2</v>
      </c>
      <c r="U633" t="s">
        <v>144</v>
      </c>
    </row>
    <row r="634" spans="1:22" x14ac:dyDescent="0.3">
      <c r="A634">
        <v>11</v>
      </c>
      <c r="B634">
        <v>1</v>
      </c>
      <c r="C634">
        <v>207871</v>
      </c>
      <c r="D634" t="s">
        <v>58</v>
      </c>
      <c r="E634" s="10">
        <v>44095</v>
      </c>
      <c r="F634" t="s">
        <v>23</v>
      </c>
      <c r="G634" s="3" t="s">
        <v>73</v>
      </c>
      <c r="H634" t="s">
        <v>51</v>
      </c>
      <c r="S634">
        <v>2</v>
      </c>
      <c r="T634" s="13">
        <f t="shared" si="12"/>
        <v>2</v>
      </c>
      <c r="U634" t="s">
        <v>144</v>
      </c>
    </row>
    <row r="635" spans="1:22" x14ac:dyDescent="0.3">
      <c r="A635">
        <v>11</v>
      </c>
      <c r="B635">
        <v>1</v>
      </c>
      <c r="C635">
        <v>207871</v>
      </c>
      <c r="D635" t="s">
        <v>58</v>
      </c>
      <c r="E635" s="10">
        <v>44095</v>
      </c>
      <c r="F635" t="s">
        <v>23</v>
      </c>
      <c r="G635" s="3" t="s">
        <v>73</v>
      </c>
      <c r="H635" t="s">
        <v>64</v>
      </c>
      <c r="S635">
        <v>1</v>
      </c>
      <c r="T635" s="13">
        <f t="shared" si="12"/>
        <v>1</v>
      </c>
      <c r="U635" t="s">
        <v>143</v>
      </c>
    </row>
    <row r="636" spans="1:22" x14ac:dyDescent="0.3">
      <c r="A636">
        <v>11</v>
      </c>
      <c r="B636">
        <v>1</v>
      </c>
      <c r="C636">
        <v>207871</v>
      </c>
      <c r="D636" t="s">
        <v>58</v>
      </c>
      <c r="E636" s="10">
        <v>44095</v>
      </c>
      <c r="F636" t="s">
        <v>23</v>
      </c>
      <c r="G636" s="3" t="s">
        <v>73</v>
      </c>
      <c r="H636" t="s">
        <v>274</v>
      </c>
      <c r="S636">
        <v>9</v>
      </c>
      <c r="T636" s="13">
        <f t="shared" si="12"/>
        <v>9</v>
      </c>
      <c r="U636" t="s">
        <v>144</v>
      </c>
    </row>
    <row r="637" spans="1:22" x14ac:dyDescent="0.3">
      <c r="A637">
        <v>11</v>
      </c>
      <c r="B637">
        <v>1</v>
      </c>
      <c r="C637">
        <v>207871</v>
      </c>
      <c r="D637" t="s">
        <v>58</v>
      </c>
      <c r="E637" s="10">
        <v>44095</v>
      </c>
      <c r="F637" t="s">
        <v>23</v>
      </c>
      <c r="G637" s="3" t="s">
        <v>73</v>
      </c>
      <c r="H637" t="s">
        <v>192</v>
      </c>
      <c r="S637">
        <v>53</v>
      </c>
      <c r="T637" s="13">
        <f t="shared" si="12"/>
        <v>53</v>
      </c>
      <c r="U637" t="s">
        <v>144</v>
      </c>
    </row>
    <row r="638" spans="1:22" x14ac:dyDescent="0.3">
      <c r="A638">
        <v>11</v>
      </c>
      <c r="B638">
        <v>1</v>
      </c>
      <c r="C638">
        <v>207871</v>
      </c>
      <c r="D638" t="s">
        <v>58</v>
      </c>
      <c r="E638" s="10">
        <v>44095</v>
      </c>
      <c r="F638" t="s">
        <v>23</v>
      </c>
      <c r="G638" s="3" t="s">
        <v>73</v>
      </c>
      <c r="H638" t="s">
        <v>142</v>
      </c>
      <c r="S638">
        <v>4</v>
      </c>
      <c r="T638" s="13">
        <f t="shared" si="12"/>
        <v>4</v>
      </c>
      <c r="U638" t="s">
        <v>144</v>
      </c>
    </row>
    <row r="639" spans="1:22" x14ac:dyDescent="0.3">
      <c r="A639">
        <v>11</v>
      </c>
      <c r="B639">
        <v>1</v>
      </c>
      <c r="C639">
        <v>207871</v>
      </c>
      <c r="D639" t="s">
        <v>58</v>
      </c>
      <c r="E639" s="10">
        <v>44095</v>
      </c>
      <c r="F639" t="s">
        <v>23</v>
      </c>
      <c r="G639" s="3" t="s">
        <v>73</v>
      </c>
      <c r="H639" t="s">
        <v>89</v>
      </c>
      <c r="S639">
        <v>3</v>
      </c>
      <c r="T639" s="13">
        <f t="shared" si="12"/>
        <v>3</v>
      </c>
      <c r="U639" t="s">
        <v>144</v>
      </c>
    </row>
    <row r="640" spans="1:22" x14ac:dyDescent="0.3">
      <c r="A640">
        <v>11</v>
      </c>
      <c r="B640">
        <v>1</v>
      </c>
      <c r="C640">
        <v>207871</v>
      </c>
      <c r="D640" t="s">
        <v>58</v>
      </c>
      <c r="E640" s="10">
        <v>44095</v>
      </c>
      <c r="F640" t="s">
        <v>23</v>
      </c>
      <c r="G640" s="3" t="s">
        <v>73</v>
      </c>
      <c r="H640" t="s">
        <v>186</v>
      </c>
      <c r="O640">
        <v>1</v>
      </c>
      <c r="T640" s="13">
        <f t="shared" si="12"/>
        <v>1</v>
      </c>
      <c r="U640" t="s">
        <v>144</v>
      </c>
    </row>
    <row r="641" spans="1:22" x14ac:dyDescent="0.3">
      <c r="A641">
        <v>11</v>
      </c>
      <c r="B641">
        <v>1</v>
      </c>
      <c r="C641">
        <v>207871</v>
      </c>
      <c r="D641" t="s">
        <v>58</v>
      </c>
      <c r="E641" s="10">
        <v>44095</v>
      </c>
      <c r="F641" t="s">
        <v>23</v>
      </c>
      <c r="G641" s="3" t="s">
        <v>52</v>
      </c>
      <c r="H641" t="s">
        <v>86</v>
      </c>
      <c r="I641" s="16"/>
      <c r="S641">
        <v>1</v>
      </c>
      <c r="T641" s="13">
        <f t="shared" si="12"/>
        <v>1</v>
      </c>
      <c r="U641" t="s">
        <v>143</v>
      </c>
    </row>
    <row r="642" spans="1:22" x14ac:dyDescent="0.3">
      <c r="A642">
        <v>11</v>
      </c>
      <c r="B642">
        <v>1</v>
      </c>
      <c r="C642">
        <v>207871</v>
      </c>
      <c r="D642" t="s">
        <v>58</v>
      </c>
      <c r="E642" s="10">
        <v>44095</v>
      </c>
      <c r="F642" t="s">
        <v>23</v>
      </c>
      <c r="G642" s="3" t="s">
        <v>52</v>
      </c>
      <c r="H642" t="s">
        <v>192</v>
      </c>
      <c r="I642" s="16"/>
      <c r="S642">
        <v>3</v>
      </c>
      <c r="T642" s="13">
        <f t="shared" si="12"/>
        <v>3</v>
      </c>
      <c r="U642" t="s">
        <v>144</v>
      </c>
    </row>
    <row r="643" spans="1:22" x14ac:dyDescent="0.3">
      <c r="A643">
        <v>11</v>
      </c>
      <c r="B643">
        <v>1</v>
      </c>
      <c r="C643">
        <v>207871</v>
      </c>
      <c r="D643" t="s">
        <v>58</v>
      </c>
      <c r="E643" s="10">
        <v>44095</v>
      </c>
      <c r="F643" t="s">
        <v>23</v>
      </c>
      <c r="G643" s="3" t="s">
        <v>52</v>
      </c>
      <c r="H643" t="s">
        <v>142</v>
      </c>
      <c r="I643" s="16"/>
      <c r="S643">
        <v>7</v>
      </c>
      <c r="T643" s="13">
        <f t="shared" si="12"/>
        <v>7</v>
      </c>
      <c r="U643" t="s">
        <v>144</v>
      </c>
    </row>
    <row r="644" spans="1:22" x14ac:dyDescent="0.3">
      <c r="A644">
        <v>11</v>
      </c>
      <c r="B644">
        <v>1</v>
      </c>
      <c r="C644">
        <v>207871</v>
      </c>
      <c r="D644" t="s">
        <v>58</v>
      </c>
      <c r="E644" s="10">
        <v>44095</v>
      </c>
      <c r="F644" t="s">
        <v>23</v>
      </c>
      <c r="G644" s="3" t="s">
        <v>52</v>
      </c>
      <c r="H644" t="s">
        <v>82</v>
      </c>
      <c r="I644" s="16"/>
      <c r="S644">
        <v>4</v>
      </c>
      <c r="T644" s="13">
        <f t="shared" si="12"/>
        <v>4</v>
      </c>
      <c r="U644" t="s">
        <v>143</v>
      </c>
    </row>
    <row r="645" spans="1:22" x14ac:dyDescent="0.3">
      <c r="A645">
        <v>11</v>
      </c>
      <c r="B645">
        <v>1</v>
      </c>
      <c r="C645">
        <v>207871</v>
      </c>
      <c r="D645" t="s">
        <v>58</v>
      </c>
      <c r="E645" s="10">
        <v>44095</v>
      </c>
      <c r="F645" t="s">
        <v>23</v>
      </c>
      <c r="G645" s="3" t="s">
        <v>52</v>
      </c>
      <c r="H645" t="s">
        <v>64</v>
      </c>
      <c r="I645" s="16"/>
      <c r="S645">
        <v>1</v>
      </c>
      <c r="T645" s="13">
        <f t="shared" si="12"/>
        <v>1</v>
      </c>
      <c r="U645" t="s">
        <v>143</v>
      </c>
    </row>
    <row r="646" spans="1:22" x14ac:dyDescent="0.3">
      <c r="A646">
        <v>11</v>
      </c>
      <c r="B646">
        <v>1</v>
      </c>
      <c r="C646">
        <v>207871</v>
      </c>
      <c r="D646" t="s">
        <v>58</v>
      </c>
      <c r="E646" s="10">
        <v>44095</v>
      </c>
      <c r="F646" t="s">
        <v>23</v>
      </c>
      <c r="G646" s="3" t="s">
        <v>52</v>
      </c>
      <c r="H646" t="s">
        <v>249</v>
      </c>
      <c r="I646" s="16"/>
      <c r="S646">
        <v>1</v>
      </c>
      <c r="T646" s="13">
        <f t="shared" si="12"/>
        <v>1</v>
      </c>
      <c r="U646" t="s">
        <v>144</v>
      </c>
    </row>
    <row r="647" spans="1:22" x14ac:dyDescent="0.3">
      <c r="A647">
        <v>11</v>
      </c>
      <c r="B647">
        <v>1</v>
      </c>
      <c r="C647">
        <v>207871</v>
      </c>
      <c r="D647" t="s">
        <v>58</v>
      </c>
      <c r="E647" s="10">
        <v>44095</v>
      </c>
      <c r="F647" t="s">
        <v>23</v>
      </c>
      <c r="G647" s="3" t="s">
        <v>52</v>
      </c>
      <c r="H647" t="s">
        <v>238</v>
      </c>
      <c r="I647" s="16"/>
      <c r="S647">
        <v>2</v>
      </c>
      <c r="T647" s="13">
        <f t="shared" si="12"/>
        <v>2</v>
      </c>
      <c r="U647" t="s">
        <v>143</v>
      </c>
    </row>
    <row r="648" spans="1:22" x14ac:dyDescent="0.3">
      <c r="A648">
        <v>11</v>
      </c>
      <c r="B648">
        <v>1</v>
      </c>
      <c r="C648">
        <v>207871</v>
      </c>
      <c r="D648" t="s">
        <v>58</v>
      </c>
      <c r="E648" s="10">
        <v>44095</v>
      </c>
      <c r="F648" t="s">
        <v>23</v>
      </c>
      <c r="G648" s="3" t="s">
        <v>52</v>
      </c>
      <c r="H648" t="s">
        <v>141</v>
      </c>
      <c r="I648" s="16"/>
      <c r="S648">
        <v>2</v>
      </c>
      <c r="T648" s="13">
        <f t="shared" si="12"/>
        <v>2</v>
      </c>
      <c r="U648" t="s">
        <v>143</v>
      </c>
    </row>
    <row r="649" spans="1:22" x14ac:dyDescent="0.3">
      <c r="A649">
        <v>11</v>
      </c>
      <c r="B649">
        <v>1</v>
      </c>
      <c r="C649">
        <v>207871</v>
      </c>
      <c r="D649" t="s">
        <v>58</v>
      </c>
      <c r="E649" s="10">
        <v>44095</v>
      </c>
      <c r="F649" t="s">
        <v>23</v>
      </c>
      <c r="G649" s="3" t="s">
        <v>52</v>
      </c>
      <c r="H649" t="s">
        <v>89</v>
      </c>
      <c r="I649" s="16"/>
      <c r="S649">
        <v>3</v>
      </c>
      <c r="T649" s="13">
        <f t="shared" si="12"/>
        <v>3</v>
      </c>
      <c r="U649" t="s">
        <v>143</v>
      </c>
    </row>
    <row r="650" spans="1:22" x14ac:dyDescent="0.3">
      <c r="A650">
        <v>11</v>
      </c>
      <c r="B650">
        <v>1</v>
      </c>
      <c r="C650">
        <v>207871</v>
      </c>
      <c r="D650" t="s">
        <v>58</v>
      </c>
      <c r="E650" s="10">
        <v>44095</v>
      </c>
      <c r="F650" t="s">
        <v>23</v>
      </c>
      <c r="G650" s="3" t="s">
        <v>52</v>
      </c>
      <c r="H650" t="s">
        <v>165</v>
      </c>
      <c r="I650" s="16"/>
      <c r="S650">
        <v>2</v>
      </c>
      <c r="T650" s="13">
        <f t="shared" si="12"/>
        <v>2</v>
      </c>
      <c r="U650" t="s">
        <v>143</v>
      </c>
    </row>
    <row r="651" spans="1:22" x14ac:dyDescent="0.3">
      <c r="A651">
        <v>11</v>
      </c>
      <c r="B651">
        <v>1</v>
      </c>
      <c r="C651">
        <v>207871</v>
      </c>
      <c r="D651" t="s">
        <v>58</v>
      </c>
      <c r="E651" s="10">
        <v>44095</v>
      </c>
      <c r="F651" t="s">
        <v>23</v>
      </c>
      <c r="G651" s="3" t="s">
        <v>52</v>
      </c>
      <c r="H651" t="s">
        <v>25</v>
      </c>
      <c r="I651" s="16"/>
      <c r="P651">
        <v>2</v>
      </c>
      <c r="T651" s="13">
        <f t="shared" si="12"/>
        <v>2</v>
      </c>
      <c r="U651" t="s">
        <v>144</v>
      </c>
    </row>
    <row r="652" spans="1:22" x14ac:dyDescent="0.3">
      <c r="A652">
        <v>11</v>
      </c>
      <c r="B652">
        <v>1</v>
      </c>
      <c r="C652">
        <v>207871</v>
      </c>
      <c r="D652" t="s">
        <v>58</v>
      </c>
      <c r="E652" s="10">
        <v>44095</v>
      </c>
      <c r="F652" t="s">
        <v>23</v>
      </c>
      <c r="G652" s="3" t="s">
        <v>52</v>
      </c>
      <c r="H652" t="s">
        <v>67</v>
      </c>
      <c r="I652" s="16"/>
      <c r="P652">
        <v>2</v>
      </c>
      <c r="Q652">
        <v>3</v>
      </c>
      <c r="T652" s="13">
        <f t="shared" si="12"/>
        <v>5</v>
      </c>
      <c r="U652" t="s">
        <v>144</v>
      </c>
    </row>
    <row r="653" spans="1:22" x14ac:dyDescent="0.3">
      <c r="A653">
        <v>11</v>
      </c>
      <c r="B653">
        <v>1</v>
      </c>
      <c r="C653">
        <v>207871</v>
      </c>
      <c r="D653" t="s">
        <v>58</v>
      </c>
      <c r="E653" s="10">
        <v>44095</v>
      </c>
      <c r="F653" t="s">
        <v>23</v>
      </c>
      <c r="G653" s="3" t="s">
        <v>52</v>
      </c>
      <c r="H653" t="s">
        <v>34</v>
      </c>
      <c r="I653" s="16"/>
      <c r="O653">
        <v>1</v>
      </c>
      <c r="P653">
        <v>1</v>
      </c>
      <c r="Q653">
        <v>4</v>
      </c>
      <c r="T653" s="13">
        <f t="shared" si="12"/>
        <v>6</v>
      </c>
      <c r="U653" t="s">
        <v>144</v>
      </c>
    </row>
    <row r="654" spans="1:22" s="5" customFormat="1" ht="16.2" thickBot="1" x14ac:dyDescent="0.35">
      <c r="A654" s="5">
        <v>11</v>
      </c>
      <c r="B654" s="5">
        <v>1</v>
      </c>
      <c r="C654" s="5">
        <v>207871</v>
      </c>
      <c r="D654" s="5" t="s">
        <v>58</v>
      </c>
      <c r="E654" s="11">
        <v>44095</v>
      </c>
      <c r="F654" s="5" t="s">
        <v>23</v>
      </c>
      <c r="G654" s="6" t="s">
        <v>52</v>
      </c>
      <c r="H654" s="5" t="s">
        <v>180</v>
      </c>
      <c r="I654" s="22"/>
      <c r="S654" s="5">
        <v>7</v>
      </c>
      <c r="T654" s="12">
        <f t="shared" si="12"/>
        <v>7</v>
      </c>
      <c r="U654" s="5" t="s">
        <v>143</v>
      </c>
      <c r="V654" s="14"/>
    </row>
    <row r="655" spans="1:22" ht="31.2" x14ac:dyDescent="0.3">
      <c r="A655">
        <v>11</v>
      </c>
      <c r="B655">
        <v>2</v>
      </c>
      <c r="C655">
        <v>207872</v>
      </c>
      <c r="D655" t="s">
        <v>58</v>
      </c>
      <c r="E655" s="10">
        <v>44095</v>
      </c>
      <c r="F655" t="s">
        <v>23</v>
      </c>
      <c r="G655" s="3" t="s">
        <v>52</v>
      </c>
      <c r="H655" t="s">
        <v>64</v>
      </c>
      <c r="S655">
        <v>5</v>
      </c>
      <c r="T655" s="13">
        <f t="shared" si="12"/>
        <v>5</v>
      </c>
      <c r="U655" t="s">
        <v>143</v>
      </c>
      <c r="V655" s="15" t="s">
        <v>167</v>
      </c>
    </row>
    <row r="656" spans="1:22" x14ac:dyDescent="0.3">
      <c r="A656">
        <v>11</v>
      </c>
      <c r="B656">
        <v>2</v>
      </c>
      <c r="C656">
        <v>207872</v>
      </c>
      <c r="D656" t="s">
        <v>58</v>
      </c>
      <c r="E656" s="10">
        <v>44095</v>
      </c>
      <c r="F656" t="s">
        <v>23</v>
      </c>
      <c r="G656" s="3" t="s">
        <v>75</v>
      </c>
      <c r="H656" t="s">
        <v>25</v>
      </c>
      <c r="N656">
        <v>1</v>
      </c>
      <c r="O656">
        <v>10</v>
      </c>
      <c r="P656">
        <v>78</v>
      </c>
      <c r="Q656">
        <v>4</v>
      </c>
      <c r="T656" s="13">
        <f t="shared" si="12"/>
        <v>93</v>
      </c>
      <c r="U656" t="s">
        <v>144</v>
      </c>
    </row>
    <row r="657" spans="1:22" x14ac:dyDescent="0.3">
      <c r="A657">
        <v>11</v>
      </c>
      <c r="B657">
        <v>2</v>
      </c>
      <c r="C657">
        <v>207872</v>
      </c>
      <c r="D657" t="s">
        <v>58</v>
      </c>
      <c r="E657" s="10">
        <v>44095</v>
      </c>
      <c r="F657" t="s">
        <v>23</v>
      </c>
      <c r="G657" s="3" t="s">
        <v>75</v>
      </c>
      <c r="H657" t="s">
        <v>27</v>
      </c>
      <c r="P657">
        <v>3</v>
      </c>
      <c r="T657" s="13">
        <f t="shared" si="12"/>
        <v>3</v>
      </c>
      <c r="U657" t="s">
        <v>144</v>
      </c>
    </row>
    <row r="658" spans="1:22" x14ac:dyDescent="0.3">
      <c r="A658">
        <v>11</v>
      </c>
      <c r="B658">
        <v>2</v>
      </c>
      <c r="C658">
        <v>207872</v>
      </c>
      <c r="D658" t="s">
        <v>58</v>
      </c>
      <c r="E658" s="10">
        <v>44095</v>
      </c>
      <c r="F658" t="s">
        <v>23</v>
      </c>
      <c r="G658" s="3" t="s">
        <v>75</v>
      </c>
      <c r="H658" t="s">
        <v>186</v>
      </c>
      <c r="O658">
        <v>1</v>
      </c>
      <c r="T658" s="13">
        <f t="shared" si="12"/>
        <v>1</v>
      </c>
      <c r="U658" t="s">
        <v>144</v>
      </c>
    </row>
    <row r="659" spans="1:22" x14ac:dyDescent="0.3">
      <c r="A659">
        <v>11</v>
      </c>
      <c r="B659">
        <v>2</v>
      </c>
      <c r="C659">
        <v>207872</v>
      </c>
      <c r="D659" t="s">
        <v>58</v>
      </c>
      <c r="E659" s="10">
        <v>44095</v>
      </c>
      <c r="F659" t="s">
        <v>23</v>
      </c>
      <c r="G659" s="3" t="s">
        <v>75</v>
      </c>
      <c r="H659" t="s">
        <v>142</v>
      </c>
      <c r="S659">
        <v>9</v>
      </c>
      <c r="T659" s="13">
        <f t="shared" si="12"/>
        <v>9</v>
      </c>
      <c r="U659" t="s">
        <v>144</v>
      </c>
    </row>
    <row r="660" spans="1:22" x14ac:dyDescent="0.3">
      <c r="A660">
        <v>11</v>
      </c>
      <c r="B660">
        <v>2</v>
      </c>
      <c r="C660">
        <v>207872</v>
      </c>
      <c r="D660" t="s">
        <v>58</v>
      </c>
      <c r="E660" s="10">
        <v>44095</v>
      </c>
      <c r="F660" t="s">
        <v>23</v>
      </c>
      <c r="G660" s="3" t="s">
        <v>75</v>
      </c>
      <c r="H660" t="s">
        <v>30</v>
      </c>
      <c r="I660">
        <v>9</v>
      </c>
      <c r="J660">
        <v>11</v>
      </c>
      <c r="T660" s="13">
        <f t="shared" si="12"/>
        <v>20</v>
      </c>
      <c r="U660" t="s">
        <v>144</v>
      </c>
    </row>
    <row r="661" spans="1:22" x14ac:dyDescent="0.3">
      <c r="A661">
        <v>11</v>
      </c>
      <c r="B661">
        <v>2</v>
      </c>
      <c r="C661">
        <v>207872</v>
      </c>
      <c r="D661" t="s">
        <v>58</v>
      </c>
      <c r="E661" s="10">
        <v>44095</v>
      </c>
      <c r="F661" t="s">
        <v>23</v>
      </c>
      <c r="G661" s="3" t="s">
        <v>75</v>
      </c>
      <c r="H661" t="s">
        <v>32</v>
      </c>
      <c r="O661">
        <v>9</v>
      </c>
      <c r="T661" s="13">
        <f t="shared" si="12"/>
        <v>9</v>
      </c>
      <c r="U661" t="s">
        <v>144</v>
      </c>
    </row>
    <row r="662" spans="1:22" x14ac:dyDescent="0.3">
      <c r="A662">
        <v>11</v>
      </c>
      <c r="B662">
        <v>2</v>
      </c>
      <c r="C662">
        <v>207872</v>
      </c>
      <c r="D662" t="s">
        <v>58</v>
      </c>
      <c r="E662" s="10">
        <v>44095</v>
      </c>
      <c r="F662" t="s">
        <v>23</v>
      </c>
      <c r="G662" s="3" t="s">
        <v>75</v>
      </c>
      <c r="H662" t="s">
        <v>31</v>
      </c>
      <c r="O662">
        <v>3</v>
      </c>
      <c r="P662">
        <v>10</v>
      </c>
      <c r="Q662">
        <v>2</v>
      </c>
      <c r="T662" s="13">
        <f t="shared" si="12"/>
        <v>15</v>
      </c>
      <c r="U662" t="s">
        <v>144</v>
      </c>
    </row>
    <row r="663" spans="1:22" x14ac:dyDescent="0.3">
      <c r="A663">
        <v>11</v>
      </c>
      <c r="B663">
        <v>2</v>
      </c>
      <c r="C663">
        <v>207872</v>
      </c>
      <c r="D663" t="s">
        <v>58</v>
      </c>
      <c r="E663" s="10">
        <v>44095</v>
      </c>
      <c r="F663" t="s">
        <v>23</v>
      </c>
      <c r="G663" s="3" t="s">
        <v>75</v>
      </c>
      <c r="H663" t="s">
        <v>34</v>
      </c>
      <c r="P663">
        <v>1</v>
      </c>
      <c r="Q663">
        <v>9</v>
      </c>
      <c r="R663">
        <v>2</v>
      </c>
      <c r="T663" s="13">
        <f t="shared" si="12"/>
        <v>12</v>
      </c>
      <c r="U663" t="s">
        <v>144</v>
      </c>
    </row>
    <row r="664" spans="1:22" x14ac:dyDescent="0.3">
      <c r="A664">
        <v>11</v>
      </c>
      <c r="B664">
        <v>2</v>
      </c>
      <c r="C664">
        <v>207872</v>
      </c>
      <c r="D664" t="s">
        <v>58</v>
      </c>
      <c r="E664" s="10">
        <v>44095</v>
      </c>
      <c r="F664" t="s">
        <v>23</v>
      </c>
      <c r="G664" s="3" t="s">
        <v>75</v>
      </c>
      <c r="H664" t="s">
        <v>37</v>
      </c>
      <c r="Q664">
        <v>4</v>
      </c>
      <c r="T664" s="13">
        <f t="shared" si="12"/>
        <v>4</v>
      </c>
      <c r="U664" t="s">
        <v>144</v>
      </c>
    </row>
    <row r="665" spans="1:22" x14ac:dyDescent="0.3">
      <c r="A665">
        <v>11</v>
      </c>
      <c r="B665">
        <v>2</v>
      </c>
      <c r="C665">
        <v>207872</v>
      </c>
      <c r="D665" t="s">
        <v>58</v>
      </c>
      <c r="E665" s="10">
        <v>44095</v>
      </c>
      <c r="F665" t="s">
        <v>23</v>
      </c>
      <c r="G665" s="3" t="s">
        <v>75</v>
      </c>
      <c r="H665" t="s">
        <v>38</v>
      </c>
      <c r="P665">
        <v>8</v>
      </c>
      <c r="Q665">
        <v>5</v>
      </c>
      <c r="R665">
        <v>7</v>
      </c>
      <c r="T665" s="13">
        <f t="shared" si="12"/>
        <v>20</v>
      </c>
      <c r="U665" t="s">
        <v>144</v>
      </c>
    </row>
    <row r="666" spans="1:22" x14ac:dyDescent="0.3">
      <c r="A666">
        <v>11</v>
      </c>
      <c r="B666">
        <v>2</v>
      </c>
      <c r="C666">
        <v>207872</v>
      </c>
      <c r="D666" t="s">
        <v>58</v>
      </c>
      <c r="E666" s="10">
        <v>44095</v>
      </c>
      <c r="F666" t="s">
        <v>23</v>
      </c>
      <c r="G666" s="3" t="s">
        <v>75</v>
      </c>
      <c r="H666" t="s">
        <v>74</v>
      </c>
      <c r="Q666">
        <v>1</v>
      </c>
      <c r="T666" s="13">
        <f t="shared" si="12"/>
        <v>1</v>
      </c>
      <c r="U666" t="s">
        <v>144</v>
      </c>
    </row>
    <row r="667" spans="1:22" x14ac:dyDescent="0.3">
      <c r="A667">
        <v>11</v>
      </c>
      <c r="B667">
        <v>2</v>
      </c>
      <c r="C667">
        <v>207872</v>
      </c>
      <c r="D667" t="s">
        <v>58</v>
      </c>
      <c r="E667" s="10">
        <v>44095</v>
      </c>
      <c r="F667" t="s">
        <v>23</v>
      </c>
      <c r="G667" s="3" t="s">
        <v>75</v>
      </c>
      <c r="H667" t="s">
        <v>46</v>
      </c>
      <c r="Q667">
        <v>1</v>
      </c>
      <c r="T667" s="13">
        <f t="shared" si="12"/>
        <v>1</v>
      </c>
      <c r="U667" t="s">
        <v>144</v>
      </c>
    </row>
    <row r="668" spans="1:22" x14ac:dyDescent="0.3">
      <c r="A668">
        <v>11</v>
      </c>
      <c r="B668">
        <v>2</v>
      </c>
      <c r="C668">
        <v>207872</v>
      </c>
      <c r="D668" t="s">
        <v>58</v>
      </c>
      <c r="E668" s="10">
        <v>44095</v>
      </c>
      <c r="F668" t="s">
        <v>23</v>
      </c>
      <c r="G668" s="3" t="s">
        <v>75</v>
      </c>
      <c r="H668" t="s">
        <v>45</v>
      </c>
      <c r="K668">
        <v>6</v>
      </c>
      <c r="T668" s="13">
        <f t="shared" si="12"/>
        <v>6</v>
      </c>
      <c r="U668" t="s">
        <v>144</v>
      </c>
    </row>
    <row r="669" spans="1:22" s="5" customFormat="1" ht="16.2" thickBot="1" x14ac:dyDescent="0.35">
      <c r="A669" s="5">
        <v>11</v>
      </c>
      <c r="B669" s="5">
        <v>2</v>
      </c>
      <c r="C669" s="5">
        <v>207872</v>
      </c>
      <c r="D669" s="5" t="s">
        <v>58</v>
      </c>
      <c r="E669" s="11">
        <v>44095</v>
      </c>
      <c r="F669" s="5" t="s">
        <v>23</v>
      </c>
      <c r="G669" s="6" t="s">
        <v>75</v>
      </c>
      <c r="H669" s="5" t="s">
        <v>79</v>
      </c>
      <c r="S669" s="5">
        <v>1</v>
      </c>
      <c r="T669" s="12">
        <f t="shared" si="12"/>
        <v>1</v>
      </c>
      <c r="U669" s="5" t="s">
        <v>144</v>
      </c>
      <c r="V669" s="14"/>
    </row>
    <row r="670" spans="1:22" ht="31.2" x14ac:dyDescent="0.3">
      <c r="A670">
        <v>11</v>
      </c>
      <c r="B670">
        <v>3</v>
      </c>
      <c r="C670">
        <v>207873</v>
      </c>
      <c r="D670" t="s">
        <v>58</v>
      </c>
      <c r="E670" s="10">
        <v>44095</v>
      </c>
      <c r="F670" t="s">
        <v>23</v>
      </c>
      <c r="G670" s="3" t="s">
        <v>68</v>
      </c>
      <c r="H670" t="s">
        <v>25</v>
      </c>
      <c r="N670">
        <v>1</v>
      </c>
      <c r="O670">
        <v>21</v>
      </c>
      <c r="P670">
        <v>60</v>
      </c>
      <c r="Q670">
        <v>2</v>
      </c>
      <c r="T670" s="13">
        <f t="shared" si="12"/>
        <v>84</v>
      </c>
      <c r="U670" t="s">
        <v>144</v>
      </c>
      <c r="V670" s="15" t="s">
        <v>168</v>
      </c>
    </row>
    <row r="671" spans="1:22" x14ac:dyDescent="0.3">
      <c r="A671">
        <v>11</v>
      </c>
      <c r="B671">
        <v>3</v>
      </c>
      <c r="C671">
        <v>207873</v>
      </c>
      <c r="D671" t="s">
        <v>58</v>
      </c>
      <c r="E671" s="10">
        <v>44095</v>
      </c>
      <c r="F671" t="s">
        <v>23</v>
      </c>
      <c r="G671" s="3" t="s">
        <v>28</v>
      </c>
      <c r="H671" t="s">
        <v>30</v>
      </c>
      <c r="I671">
        <v>27</v>
      </c>
      <c r="J671">
        <v>20</v>
      </c>
      <c r="T671" s="13">
        <f t="shared" si="12"/>
        <v>47</v>
      </c>
      <c r="U671" t="s">
        <v>144</v>
      </c>
    </row>
    <row r="672" spans="1:22" x14ac:dyDescent="0.3">
      <c r="A672">
        <v>11</v>
      </c>
      <c r="B672">
        <v>3</v>
      </c>
      <c r="C672">
        <v>207873</v>
      </c>
      <c r="D672" t="s">
        <v>58</v>
      </c>
      <c r="E672" s="10">
        <v>44095</v>
      </c>
      <c r="F672" t="s">
        <v>23</v>
      </c>
      <c r="G672" s="3" t="s">
        <v>28</v>
      </c>
      <c r="H672" t="s">
        <v>34</v>
      </c>
      <c r="O672">
        <v>1</v>
      </c>
      <c r="P672">
        <v>1</v>
      </c>
      <c r="Q672">
        <v>1</v>
      </c>
      <c r="T672" s="13">
        <f t="shared" si="12"/>
        <v>3</v>
      </c>
      <c r="U672" t="s">
        <v>144</v>
      </c>
    </row>
    <row r="673" spans="1:22" x14ac:dyDescent="0.3">
      <c r="A673">
        <v>11</v>
      </c>
      <c r="B673">
        <v>3</v>
      </c>
      <c r="C673">
        <v>207873</v>
      </c>
      <c r="D673" t="s">
        <v>58</v>
      </c>
      <c r="E673" s="10">
        <v>44095</v>
      </c>
      <c r="F673" t="s">
        <v>23</v>
      </c>
      <c r="G673" s="3" t="s">
        <v>28</v>
      </c>
      <c r="H673" t="s">
        <v>31</v>
      </c>
      <c r="O673">
        <v>6</v>
      </c>
      <c r="P673">
        <v>4</v>
      </c>
      <c r="Q673">
        <v>2</v>
      </c>
      <c r="T673" s="13">
        <f t="shared" si="12"/>
        <v>12</v>
      </c>
      <c r="U673" t="s">
        <v>144</v>
      </c>
    </row>
    <row r="674" spans="1:22" x14ac:dyDescent="0.3">
      <c r="A674">
        <v>11</v>
      </c>
      <c r="B674">
        <v>3</v>
      </c>
      <c r="C674">
        <v>207873</v>
      </c>
      <c r="D674" t="s">
        <v>58</v>
      </c>
      <c r="E674" s="10">
        <v>44095</v>
      </c>
      <c r="F674" t="s">
        <v>23</v>
      </c>
      <c r="G674" s="3" t="s">
        <v>28</v>
      </c>
      <c r="H674" t="s">
        <v>32</v>
      </c>
      <c r="O674">
        <v>11</v>
      </c>
      <c r="T674" s="13">
        <f t="shared" si="12"/>
        <v>11</v>
      </c>
      <c r="U674" t="s">
        <v>144</v>
      </c>
    </row>
    <row r="675" spans="1:22" x14ac:dyDescent="0.3">
      <c r="A675">
        <v>11</v>
      </c>
      <c r="B675">
        <v>3</v>
      </c>
      <c r="C675">
        <v>207873</v>
      </c>
      <c r="D675" t="s">
        <v>58</v>
      </c>
      <c r="E675" s="10">
        <v>44095</v>
      </c>
      <c r="F675" t="s">
        <v>23</v>
      </c>
      <c r="G675" s="3" t="s">
        <v>28</v>
      </c>
      <c r="H675" t="s">
        <v>38</v>
      </c>
      <c r="P675">
        <v>6</v>
      </c>
      <c r="Q675">
        <v>10</v>
      </c>
      <c r="R675">
        <v>14</v>
      </c>
      <c r="T675" s="13">
        <f t="shared" si="12"/>
        <v>30</v>
      </c>
      <c r="U675" t="s">
        <v>144</v>
      </c>
    </row>
    <row r="676" spans="1:22" x14ac:dyDescent="0.3">
      <c r="A676">
        <v>11</v>
      </c>
      <c r="B676">
        <v>3</v>
      </c>
      <c r="C676">
        <v>207873</v>
      </c>
      <c r="D676" t="s">
        <v>58</v>
      </c>
      <c r="E676" s="10">
        <v>44095</v>
      </c>
      <c r="F676" t="s">
        <v>23</v>
      </c>
      <c r="G676" s="3" t="s">
        <v>28</v>
      </c>
      <c r="H676" t="s">
        <v>37</v>
      </c>
      <c r="R676">
        <v>2</v>
      </c>
      <c r="T676" s="13">
        <f t="shared" si="12"/>
        <v>2</v>
      </c>
      <c r="U676" t="s">
        <v>144</v>
      </c>
    </row>
    <row r="677" spans="1:22" x14ac:dyDescent="0.3">
      <c r="A677">
        <v>11</v>
      </c>
      <c r="B677">
        <v>3</v>
      </c>
      <c r="C677">
        <v>207873</v>
      </c>
      <c r="D677" t="s">
        <v>58</v>
      </c>
      <c r="E677" s="10">
        <v>44095</v>
      </c>
      <c r="F677" t="s">
        <v>23</v>
      </c>
      <c r="G677" s="3" t="s">
        <v>28</v>
      </c>
      <c r="H677" t="s">
        <v>46</v>
      </c>
      <c r="Q677">
        <v>10</v>
      </c>
      <c r="R677">
        <v>2</v>
      </c>
      <c r="T677" s="13">
        <f t="shared" si="12"/>
        <v>12</v>
      </c>
      <c r="U677" t="s">
        <v>144</v>
      </c>
    </row>
    <row r="678" spans="1:22" x14ac:dyDescent="0.3">
      <c r="A678">
        <v>11</v>
      </c>
      <c r="B678">
        <v>3</v>
      </c>
      <c r="C678">
        <v>207873</v>
      </c>
      <c r="D678" t="s">
        <v>58</v>
      </c>
      <c r="E678" s="10">
        <v>44095</v>
      </c>
      <c r="F678" t="s">
        <v>23</v>
      </c>
      <c r="G678" s="3" t="s">
        <v>28</v>
      </c>
      <c r="H678" t="s">
        <v>51</v>
      </c>
      <c r="R678">
        <v>2</v>
      </c>
      <c r="T678" s="13">
        <f t="shared" si="12"/>
        <v>2</v>
      </c>
      <c r="U678" t="s">
        <v>144</v>
      </c>
    </row>
    <row r="679" spans="1:22" x14ac:dyDescent="0.3">
      <c r="A679">
        <v>11</v>
      </c>
      <c r="B679">
        <v>3</v>
      </c>
      <c r="C679">
        <v>207873</v>
      </c>
      <c r="D679" t="s">
        <v>58</v>
      </c>
      <c r="E679" s="10">
        <v>44095</v>
      </c>
      <c r="F679" t="s">
        <v>23</v>
      </c>
      <c r="G679" s="3" t="s">
        <v>28</v>
      </c>
      <c r="H679" t="s">
        <v>41</v>
      </c>
      <c r="R679">
        <v>3</v>
      </c>
      <c r="T679" s="13">
        <f t="shared" si="12"/>
        <v>3</v>
      </c>
      <c r="U679" t="s">
        <v>144</v>
      </c>
    </row>
    <row r="680" spans="1:22" x14ac:dyDescent="0.3">
      <c r="A680">
        <v>11</v>
      </c>
      <c r="B680">
        <v>3</v>
      </c>
      <c r="C680">
        <v>207873</v>
      </c>
      <c r="D680" t="s">
        <v>58</v>
      </c>
      <c r="E680" s="10">
        <v>44095</v>
      </c>
      <c r="F680" t="s">
        <v>23</v>
      </c>
      <c r="G680" s="3" t="s">
        <v>28</v>
      </c>
      <c r="H680" t="s">
        <v>43</v>
      </c>
      <c r="P680">
        <v>11</v>
      </c>
      <c r="Q680">
        <v>10</v>
      </c>
      <c r="R680">
        <v>2</v>
      </c>
      <c r="T680" s="13">
        <f t="shared" si="12"/>
        <v>23</v>
      </c>
      <c r="U680" t="s">
        <v>144</v>
      </c>
    </row>
    <row r="681" spans="1:22" x14ac:dyDescent="0.3">
      <c r="A681">
        <v>11</v>
      </c>
      <c r="B681">
        <v>3</v>
      </c>
      <c r="C681">
        <v>207873</v>
      </c>
      <c r="D681" t="s">
        <v>58</v>
      </c>
      <c r="E681" s="10">
        <v>44095</v>
      </c>
      <c r="F681" t="s">
        <v>23</v>
      </c>
      <c r="G681" s="3" t="s">
        <v>28</v>
      </c>
      <c r="H681" t="s">
        <v>273</v>
      </c>
      <c r="S681">
        <v>1</v>
      </c>
      <c r="T681" s="13">
        <f t="shared" si="12"/>
        <v>1</v>
      </c>
      <c r="U681" t="s">
        <v>144</v>
      </c>
    </row>
    <row r="682" spans="1:22" x14ac:dyDescent="0.3">
      <c r="A682">
        <v>11</v>
      </c>
      <c r="B682">
        <v>3</v>
      </c>
      <c r="C682">
        <v>207873</v>
      </c>
      <c r="D682" t="s">
        <v>58</v>
      </c>
      <c r="E682" s="10">
        <v>44095</v>
      </c>
      <c r="F682" t="s">
        <v>23</v>
      </c>
      <c r="G682" s="3" t="s">
        <v>28</v>
      </c>
      <c r="H682" t="s">
        <v>45</v>
      </c>
      <c r="K682">
        <v>11</v>
      </c>
      <c r="T682" s="13">
        <f t="shared" si="12"/>
        <v>11</v>
      </c>
      <c r="U682" t="s">
        <v>144</v>
      </c>
    </row>
    <row r="683" spans="1:22" s="5" customFormat="1" ht="16.2" thickBot="1" x14ac:dyDescent="0.35">
      <c r="A683" s="5">
        <v>11</v>
      </c>
      <c r="B683" s="5">
        <v>3</v>
      </c>
      <c r="C683" s="5">
        <v>207873</v>
      </c>
      <c r="D683" s="5" t="s">
        <v>58</v>
      </c>
      <c r="E683" s="11">
        <v>44095</v>
      </c>
      <c r="F683" s="5" t="s">
        <v>23</v>
      </c>
      <c r="G683" s="6" t="s">
        <v>28</v>
      </c>
      <c r="H683" s="5" t="s">
        <v>192</v>
      </c>
      <c r="S683" s="5">
        <v>3</v>
      </c>
      <c r="T683" s="12">
        <f t="shared" si="12"/>
        <v>3</v>
      </c>
      <c r="U683" s="5" t="s">
        <v>144</v>
      </c>
      <c r="V683" s="14"/>
    </row>
    <row r="684" spans="1:22" ht="31.2" x14ac:dyDescent="0.3">
      <c r="A684">
        <v>11</v>
      </c>
      <c r="B684">
        <v>4</v>
      </c>
      <c r="C684">
        <v>207874</v>
      </c>
      <c r="D684" t="s">
        <v>58</v>
      </c>
      <c r="E684" s="10">
        <v>44095</v>
      </c>
      <c r="F684" t="s">
        <v>23</v>
      </c>
      <c r="G684" s="3" t="s">
        <v>169</v>
      </c>
      <c r="H684" t="s">
        <v>25</v>
      </c>
      <c r="N684">
        <v>3</v>
      </c>
      <c r="O684">
        <v>31</v>
      </c>
      <c r="P684">
        <v>43</v>
      </c>
      <c r="Q684">
        <v>1</v>
      </c>
      <c r="T684" s="13">
        <f t="shared" si="12"/>
        <v>78</v>
      </c>
      <c r="U684" t="s">
        <v>144</v>
      </c>
      <c r="V684" s="15" t="s">
        <v>168</v>
      </c>
    </row>
    <row r="685" spans="1:22" x14ac:dyDescent="0.3">
      <c r="A685">
        <v>11</v>
      </c>
      <c r="B685">
        <v>4</v>
      </c>
      <c r="C685">
        <v>207874</v>
      </c>
      <c r="D685" t="s">
        <v>58</v>
      </c>
      <c r="E685" s="10">
        <v>44095</v>
      </c>
      <c r="F685" t="s">
        <v>23</v>
      </c>
      <c r="G685" s="3" t="s">
        <v>169</v>
      </c>
      <c r="H685" t="s">
        <v>27</v>
      </c>
      <c r="P685">
        <v>1</v>
      </c>
      <c r="T685" s="13">
        <f t="shared" si="12"/>
        <v>1</v>
      </c>
      <c r="U685" t="s">
        <v>144</v>
      </c>
    </row>
    <row r="686" spans="1:22" x14ac:dyDescent="0.3">
      <c r="A686">
        <v>11</v>
      </c>
      <c r="B686">
        <v>4</v>
      </c>
      <c r="C686">
        <v>207874</v>
      </c>
      <c r="D686" t="s">
        <v>58</v>
      </c>
      <c r="E686" s="10">
        <v>44095</v>
      </c>
      <c r="F686" t="s">
        <v>23</v>
      </c>
      <c r="G686" s="3" t="s">
        <v>169</v>
      </c>
      <c r="H686" t="s">
        <v>69</v>
      </c>
      <c r="I686">
        <v>3</v>
      </c>
      <c r="T686" s="13">
        <f t="shared" si="12"/>
        <v>3</v>
      </c>
      <c r="U686" t="s">
        <v>144</v>
      </c>
    </row>
    <row r="687" spans="1:22" x14ac:dyDescent="0.3">
      <c r="A687">
        <v>11</v>
      </c>
      <c r="B687">
        <v>4</v>
      </c>
      <c r="C687">
        <v>207874</v>
      </c>
      <c r="D687" t="s">
        <v>58</v>
      </c>
      <c r="E687" s="10">
        <v>44095</v>
      </c>
      <c r="F687" t="s">
        <v>23</v>
      </c>
      <c r="G687" s="3" t="s">
        <v>77</v>
      </c>
      <c r="H687" t="s">
        <v>192</v>
      </c>
      <c r="S687">
        <v>3</v>
      </c>
      <c r="T687" s="13">
        <f t="shared" si="12"/>
        <v>3</v>
      </c>
      <c r="U687" t="s">
        <v>144</v>
      </c>
    </row>
    <row r="688" spans="1:22" x14ac:dyDescent="0.3">
      <c r="A688">
        <v>11</v>
      </c>
      <c r="B688">
        <v>4</v>
      </c>
      <c r="C688">
        <v>207874</v>
      </c>
      <c r="D688" t="s">
        <v>58</v>
      </c>
      <c r="E688" s="10">
        <v>44095</v>
      </c>
      <c r="F688" t="s">
        <v>23</v>
      </c>
      <c r="G688" s="3" t="s">
        <v>77</v>
      </c>
      <c r="H688" t="s">
        <v>32</v>
      </c>
      <c r="O688">
        <v>8</v>
      </c>
      <c r="P688">
        <v>15</v>
      </c>
      <c r="T688" s="13">
        <f t="shared" si="12"/>
        <v>23</v>
      </c>
      <c r="U688" t="s">
        <v>144</v>
      </c>
    </row>
    <row r="689" spans="1:22" x14ac:dyDescent="0.3">
      <c r="A689">
        <v>11</v>
      </c>
      <c r="B689">
        <v>4</v>
      </c>
      <c r="C689">
        <v>207874</v>
      </c>
      <c r="D689" t="s">
        <v>58</v>
      </c>
      <c r="E689" s="10">
        <v>44095</v>
      </c>
      <c r="F689" t="s">
        <v>23</v>
      </c>
      <c r="G689" s="3" t="s">
        <v>77</v>
      </c>
      <c r="H689" t="s">
        <v>66</v>
      </c>
      <c r="J689">
        <v>5</v>
      </c>
      <c r="O689">
        <v>2</v>
      </c>
      <c r="P689">
        <v>1</v>
      </c>
      <c r="T689" s="13">
        <f t="shared" si="12"/>
        <v>8</v>
      </c>
      <c r="U689" t="s">
        <v>144</v>
      </c>
    </row>
    <row r="690" spans="1:22" x14ac:dyDescent="0.3">
      <c r="A690">
        <v>11</v>
      </c>
      <c r="B690">
        <v>4</v>
      </c>
      <c r="C690">
        <v>207874</v>
      </c>
      <c r="D690" t="s">
        <v>58</v>
      </c>
      <c r="E690" s="10">
        <v>44095</v>
      </c>
      <c r="F690" t="s">
        <v>23</v>
      </c>
      <c r="G690" s="3" t="s">
        <v>77</v>
      </c>
      <c r="H690" t="s">
        <v>30</v>
      </c>
      <c r="I690">
        <v>12</v>
      </c>
      <c r="J690">
        <v>19</v>
      </c>
      <c r="T690" s="13">
        <f t="shared" si="12"/>
        <v>31</v>
      </c>
      <c r="U690" t="s">
        <v>144</v>
      </c>
    </row>
    <row r="691" spans="1:22" x14ac:dyDescent="0.3">
      <c r="A691">
        <v>11</v>
      </c>
      <c r="B691">
        <v>4</v>
      </c>
      <c r="C691">
        <v>207874</v>
      </c>
      <c r="D691" t="s">
        <v>58</v>
      </c>
      <c r="E691" s="10">
        <v>44095</v>
      </c>
      <c r="F691" t="s">
        <v>23</v>
      </c>
      <c r="G691" s="3" t="s">
        <v>77</v>
      </c>
      <c r="H691" t="s">
        <v>38</v>
      </c>
      <c r="Q691">
        <v>48</v>
      </c>
      <c r="R691">
        <v>38</v>
      </c>
      <c r="T691" s="13">
        <f t="shared" si="12"/>
        <v>86</v>
      </c>
      <c r="U691" t="s">
        <v>144</v>
      </c>
    </row>
    <row r="692" spans="1:22" x14ac:dyDescent="0.3">
      <c r="A692">
        <v>11</v>
      </c>
      <c r="B692">
        <v>4</v>
      </c>
      <c r="C692">
        <v>207874</v>
      </c>
      <c r="D692" t="s">
        <v>58</v>
      </c>
      <c r="E692" s="10">
        <v>44095</v>
      </c>
      <c r="F692" t="s">
        <v>23</v>
      </c>
      <c r="G692" s="3" t="s">
        <v>77</v>
      </c>
      <c r="H692" t="s">
        <v>31</v>
      </c>
      <c r="P692">
        <v>3</v>
      </c>
      <c r="Q692">
        <v>2</v>
      </c>
      <c r="R692">
        <v>1</v>
      </c>
      <c r="T692" s="13">
        <f t="shared" si="12"/>
        <v>6</v>
      </c>
      <c r="U692" t="s">
        <v>144</v>
      </c>
    </row>
    <row r="693" spans="1:22" x14ac:dyDescent="0.3">
      <c r="A693">
        <v>11</v>
      </c>
      <c r="B693">
        <v>4</v>
      </c>
      <c r="C693">
        <v>207874</v>
      </c>
      <c r="D693" t="s">
        <v>58</v>
      </c>
      <c r="E693" s="10">
        <v>44095</v>
      </c>
      <c r="F693" t="s">
        <v>23</v>
      </c>
      <c r="G693" s="3" t="s">
        <v>77</v>
      </c>
      <c r="H693" t="s">
        <v>37</v>
      </c>
      <c r="P693">
        <v>6</v>
      </c>
      <c r="Q693">
        <v>6</v>
      </c>
      <c r="T693" s="13">
        <f t="shared" si="12"/>
        <v>12</v>
      </c>
      <c r="U693" t="s">
        <v>144</v>
      </c>
    </row>
    <row r="694" spans="1:22" x14ac:dyDescent="0.3">
      <c r="A694">
        <v>11</v>
      </c>
      <c r="B694">
        <v>4</v>
      </c>
      <c r="C694">
        <v>207874</v>
      </c>
      <c r="D694" t="s">
        <v>58</v>
      </c>
      <c r="E694" s="10">
        <v>44095</v>
      </c>
      <c r="F694" t="s">
        <v>23</v>
      </c>
      <c r="G694" s="3" t="s">
        <v>77</v>
      </c>
      <c r="H694" t="s">
        <v>41</v>
      </c>
      <c r="S694">
        <v>5</v>
      </c>
      <c r="T694" s="13">
        <f t="shared" si="12"/>
        <v>5</v>
      </c>
      <c r="U694" t="s">
        <v>144</v>
      </c>
    </row>
    <row r="695" spans="1:22" x14ac:dyDescent="0.3">
      <c r="A695">
        <v>11</v>
      </c>
      <c r="B695">
        <v>4</v>
      </c>
      <c r="C695">
        <v>207874</v>
      </c>
      <c r="D695" t="s">
        <v>58</v>
      </c>
      <c r="E695" s="10">
        <v>44095</v>
      </c>
      <c r="F695" t="s">
        <v>23</v>
      </c>
      <c r="G695" s="3" t="s">
        <v>77</v>
      </c>
      <c r="H695" t="s">
        <v>45</v>
      </c>
      <c r="K695">
        <v>14</v>
      </c>
      <c r="T695" s="13">
        <f t="shared" si="12"/>
        <v>14</v>
      </c>
      <c r="U695" t="s">
        <v>144</v>
      </c>
    </row>
    <row r="696" spans="1:22" x14ac:dyDescent="0.3">
      <c r="A696">
        <v>11</v>
      </c>
      <c r="B696">
        <v>4</v>
      </c>
      <c r="C696">
        <v>207874</v>
      </c>
      <c r="D696" t="s">
        <v>58</v>
      </c>
      <c r="E696" s="10">
        <v>44095</v>
      </c>
      <c r="F696" t="s">
        <v>23</v>
      </c>
      <c r="G696" s="3" t="s">
        <v>77</v>
      </c>
      <c r="H696" t="s">
        <v>46</v>
      </c>
      <c r="Q696">
        <v>11</v>
      </c>
      <c r="T696" s="13">
        <f t="shared" ref="T696:T759" si="13">SUM(I696:S696)</f>
        <v>11</v>
      </c>
      <c r="U696" t="s">
        <v>144</v>
      </c>
    </row>
    <row r="697" spans="1:22" s="5" customFormat="1" ht="16.2" thickBot="1" x14ac:dyDescent="0.35">
      <c r="A697" s="5">
        <v>11</v>
      </c>
      <c r="B697" s="5">
        <v>4</v>
      </c>
      <c r="C697" s="5">
        <v>207874</v>
      </c>
      <c r="D697" s="5" t="s">
        <v>58</v>
      </c>
      <c r="E697" s="11">
        <v>44095</v>
      </c>
      <c r="F697" s="5" t="s">
        <v>23</v>
      </c>
      <c r="G697" s="6" t="s">
        <v>77</v>
      </c>
      <c r="H697" s="5" t="s">
        <v>74</v>
      </c>
      <c r="Q697" s="5">
        <v>3</v>
      </c>
      <c r="T697" s="12">
        <f t="shared" si="13"/>
        <v>3</v>
      </c>
      <c r="U697" s="5" t="s">
        <v>144</v>
      </c>
      <c r="V697" s="14"/>
    </row>
    <row r="698" spans="1:22" x14ac:dyDescent="0.3">
      <c r="A698">
        <v>11</v>
      </c>
      <c r="B698">
        <v>5</v>
      </c>
      <c r="C698">
        <v>207875</v>
      </c>
      <c r="D698" t="s">
        <v>58</v>
      </c>
      <c r="E698" s="10">
        <v>44095</v>
      </c>
      <c r="F698" t="s">
        <v>23</v>
      </c>
      <c r="G698" s="3" t="s">
        <v>52</v>
      </c>
      <c r="H698" t="s">
        <v>82</v>
      </c>
      <c r="S698">
        <v>1</v>
      </c>
      <c r="T698" s="13">
        <f t="shared" si="13"/>
        <v>1</v>
      </c>
      <c r="U698" t="s">
        <v>143</v>
      </c>
      <c r="V698" s="15" t="s">
        <v>170</v>
      </c>
    </row>
    <row r="699" spans="1:22" x14ac:dyDescent="0.3">
      <c r="A699">
        <v>11</v>
      </c>
      <c r="B699">
        <v>5</v>
      </c>
      <c r="C699">
        <v>207875</v>
      </c>
      <c r="D699" t="s">
        <v>58</v>
      </c>
      <c r="E699" s="10">
        <v>44095</v>
      </c>
      <c r="F699" t="s">
        <v>23</v>
      </c>
      <c r="G699" s="3" t="s">
        <v>52</v>
      </c>
      <c r="H699" t="s">
        <v>64</v>
      </c>
      <c r="S699">
        <v>4</v>
      </c>
      <c r="T699" s="13">
        <f t="shared" si="13"/>
        <v>4</v>
      </c>
      <c r="U699" t="s">
        <v>143</v>
      </c>
    </row>
    <row r="700" spans="1:22" x14ac:dyDescent="0.3">
      <c r="A700">
        <v>11</v>
      </c>
      <c r="B700">
        <v>5</v>
      </c>
      <c r="C700">
        <v>207875</v>
      </c>
      <c r="D700" t="s">
        <v>58</v>
      </c>
      <c r="E700" s="10">
        <v>44095</v>
      </c>
      <c r="F700" t="s">
        <v>23</v>
      </c>
      <c r="G700" s="3" t="s">
        <v>24</v>
      </c>
      <c r="H700" t="s">
        <v>25</v>
      </c>
      <c r="M700">
        <v>1</v>
      </c>
      <c r="N700">
        <v>21</v>
      </c>
      <c r="O700">
        <v>61</v>
      </c>
      <c r="P700">
        <v>14</v>
      </c>
      <c r="Q700">
        <v>1</v>
      </c>
      <c r="T700" s="13">
        <f t="shared" si="13"/>
        <v>98</v>
      </c>
      <c r="U700" t="s">
        <v>144</v>
      </c>
    </row>
    <row r="701" spans="1:22" x14ac:dyDescent="0.3">
      <c r="A701">
        <v>11</v>
      </c>
      <c r="B701">
        <v>5</v>
      </c>
      <c r="C701">
        <v>207875</v>
      </c>
      <c r="D701" t="s">
        <v>58</v>
      </c>
      <c r="E701" s="10">
        <v>44095</v>
      </c>
      <c r="F701" t="s">
        <v>23</v>
      </c>
      <c r="G701" s="3" t="s">
        <v>24</v>
      </c>
      <c r="H701" t="s">
        <v>69</v>
      </c>
      <c r="I701">
        <v>1</v>
      </c>
      <c r="T701" s="13">
        <f t="shared" si="13"/>
        <v>1</v>
      </c>
      <c r="U701" t="s">
        <v>144</v>
      </c>
    </row>
    <row r="702" spans="1:22" x14ac:dyDescent="0.3">
      <c r="A702">
        <v>11</v>
      </c>
      <c r="B702">
        <v>5</v>
      </c>
      <c r="C702">
        <v>207875</v>
      </c>
      <c r="D702" t="s">
        <v>58</v>
      </c>
      <c r="E702" s="10">
        <v>44095</v>
      </c>
      <c r="F702" t="s">
        <v>23</v>
      </c>
      <c r="G702" s="3" t="s">
        <v>104</v>
      </c>
      <c r="H702" t="s">
        <v>30</v>
      </c>
      <c r="I702">
        <v>14</v>
      </c>
      <c r="J702">
        <v>46</v>
      </c>
      <c r="T702" s="13">
        <f t="shared" si="13"/>
        <v>60</v>
      </c>
      <c r="U702" t="s">
        <v>144</v>
      </c>
    </row>
    <row r="703" spans="1:22" x14ac:dyDescent="0.3">
      <c r="A703">
        <v>11</v>
      </c>
      <c r="B703">
        <v>5</v>
      </c>
      <c r="C703">
        <v>207875</v>
      </c>
      <c r="D703" t="s">
        <v>58</v>
      </c>
      <c r="E703" s="10">
        <v>44095</v>
      </c>
      <c r="F703" t="s">
        <v>23</v>
      </c>
      <c r="G703" s="3" t="s">
        <v>104</v>
      </c>
      <c r="H703" t="s">
        <v>37</v>
      </c>
      <c r="O703">
        <v>16</v>
      </c>
      <c r="P703">
        <v>29</v>
      </c>
      <c r="Q703">
        <v>3</v>
      </c>
      <c r="R703">
        <v>3</v>
      </c>
      <c r="T703" s="13">
        <f t="shared" si="13"/>
        <v>51</v>
      </c>
      <c r="U703" t="s">
        <v>144</v>
      </c>
    </row>
    <row r="704" spans="1:22" x14ac:dyDescent="0.3">
      <c r="A704">
        <v>11</v>
      </c>
      <c r="B704">
        <v>5</v>
      </c>
      <c r="C704">
        <v>207875</v>
      </c>
      <c r="D704" t="s">
        <v>58</v>
      </c>
      <c r="E704" s="10">
        <v>44095</v>
      </c>
      <c r="F704" t="s">
        <v>23</v>
      </c>
      <c r="G704" s="3" t="s">
        <v>104</v>
      </c>
      <c r="H704" t="s">
        <v>31</v>
      </c>
      <c r="O704">
        <v>3</v>
      </c>
      <c r="P704">
        <v>2</v>
      </c>
      <c r="Q704">
        <v>2</v>
      </c>
      <c r="T704" s="13">
        <f t="shared" si="13"/>
        <v>7</v>
      </c>
      <c r="U704" t="s">
        <v>144</v>
      </c>
    </row>
    <row r="705" spans="1:22" x14ac:dyDescent="0.3">
      <c r="A705">
        <v>11</v>
      </c>
      <c r="B705">
        <v>5</v>
      </c>
      <c r="C705">
        <v>207875</v>
      </c>
      <c r="D705" t="s">
        <v>58</v>
      </c>
      <c r="E705" s="10">
        <v>44095</v>
      </c>
      <c r="F705" t="s">
        <v>23</v>
      </c>
      <c r="G705" s="3" t="s">
        <v>104</v>
      </c>
      <c r="H705" t="s">
        <v>32</v>
      </c>
      <c r="O705">
        <v>16</v>
      </c>
      <c r="T705" s="13">
        <f t="shared" si="13"/>
        <v>16</v>
      </c>
      <c r="U705" t="s">
        <v>144</v>
      </c>
    </row>
    <row r="706" spans="1:22" x14ac:dyDescent="0.3">
      <c r="A706">
        <v>11</v>
      </c>
      <c r="B706">
        <v>5</v>
      </c>
      <c r="C706">
        <v>207875</v>
      </c>
      <c r="D706" t="s">
        <v>58</v>
      </c>
      <c r="E706" s="10">
        <v>44095</v>
      </c>
      <c r="F706" t="s">
        <v>23</v>
      </c>
      <c r="G706" s="3" t="s">
        <v>104</v>
      </c>
      <c r="H706" t="s">
        <v>38</v>
      </c>
      <c r="P706">
        <v>20</v>
      </c>
      <c r="Q706">
        <v>7</v>
      </c>
      <c r="R706">
        <v>9</v>
      </c>
      <c r="T706" s="13">
        <f t="shared" si="13"/>
        <v>36</v>
      </c>
      <c r="U706" t="s">
        <v>144</v>
      </c>
    </row>
    <row r="707" spans="1:22" x14ac:dyDescent="0.3">
      <c r="A707">
        <v>11</v>
      </c>
      <c r="B707">
        <v>5</v>
      </c>
      <c r="C707">
        <v>207875</v>
      </c>
      <c r="D707" t="s">
        <v>58</v>
      </c>
      <c r="E707" s="10">
        <v>44095</v>
      </c>
      <c r="F707" t="s">
        <v>23</v>
      </c>
      <c r="G707" s="3" t="s">
        <v>104</v>
      </c>
      <c r="H707" t="s">
        <v>39</v>
      </c>
      <c r="Q707">
        <v>1</v>
      </c>
      <c r="T707" s="13">
        <f t="shared" si="13"/>
        <v>1</v>
      </c>
      <c r="U707" t="s">
        <v>144</v>
      </c>
    </row>
    <row r="708" spans="1:22" x14ac:dyDescent="0.3">
      <c r="A708">
        <v>11</v>
      </c>
      <c r="B708">
        <v>5</v>
      </c>
      <c r="C708">
        <v>207875</v>
      </c>
      <c r="D708" t="s">
        <v>58</v>
      </c>
      <c r="E708" s="10">
        <v>44095</v>
      </c>
      <c r="F708" t="s">
        <v>23</v>
      </c>
      <c r="G708" s="3" t="s">
        <v>104</v>
      </c>
      <c r="H708" t="s">
        <v>33</v>
      </c>
      <c r="Q708">
        <v>1</v>
      </c>
      <c r="T708" s="13">
        <f t="shared" si="13"/>
        <v>1</v>
      </c>
      <c r="U708" t="s">
        <v>144</v>
      </c>
    </row>
    <row r="709" spans="1:22" x14ac:dyDescent="0.3">
      <c r="A709">
        <v>11</v>
      </c>
      <c r="B709">
        <v>5</v>
      </c>
      <c r="C709">
        <v>207875</v>
      </c>
      <c r="D709" t="s">
        <v>58</v>
      </c>
      <c r="E709" s="10">
        <v>44095</v>
      </c>
      <c r="F709" t="s">
        <v>23</v>
      </c>
      <c r="G709" s="3" t="s">
        <v>104</v>
      </c>
      <c r="H709" t="s">
        <v>55</v>
      </c>
      <c r="S709">
        <v>1</v>
      </c>
      <c r="T709" s="13">
        <f t="shared" si="13"/>
        <v>1</v>
      </c>
      <c r="U709" t="s">
        <v>144</v>
      </c>
    </row>
    <row r="710" spans="1:22" x14ac:dyDescent="0.3">
      <c r="A710">
        <v>11</v>
      </c>
      <c r="B710">
        <v>5</v>
      </c>
      <c r="C710">
        <v>207875</v>
      </c>
      <c r="D710" t="s">
        <v>58</v>
      </c>
      <c r="E710" s="10">
        <v>44095</v>
      </c>
      <c r="F710" t="s">
        <v>23</v>
      </c>
      <c r="G710" s="3" t="s">
        <v>104</v>
      </c>
      <c r="H710" t="s">
        <v>41</v>
      </c>
      <c r="S710">
        <v>3</v>
      </c>
      <c r="T710" s="13">
        <f t="shared" si="13"/>
        <v>3</v>
      </c>
      <c r="U710" t="s">
        <v>144</v>
      </c>
    </row>
    <row r="711" spans="1:22" x14ac:dyDescent="0.3">
      <c r="A711">
        <v>11</v>
      </c>
      <c r="B711">
        <v>5</v>
      </c>
      <c r="C711">
        <v>207875</v>
      </c>
      <c r="D711" t="s">
        <v>58</v>
      </c>
      <c r="E711" s="10">
        <v>44095</v>
      </c>
      <c r="F711" t="s">
        <v>23</v>
      </c>
      <c r="G711" s="3" t="s">
        <v>104</v>
      </c>
      <c r="H711" t="s">
        <v>45</v>
      </c>
      <c r="K711">
        <v>7</v>
      </c>
      <c r="T711" s="13">
        <f t="shared" si="13"/>
        <v>7</v>
      </c>
      <c r="U711" t="s">
        <v>144</v>
      </c>
    </row>
    <row r="712" spans="1:22" x14ac:dyDescent="0.3">
      <c r="A712">
        <v>11</v>
      </c>
      <c r="B712">
        <v>5</v>
      </c>
      <c r="C712">
        <v>207875</v>
      </c>
      <c r="D712" t="s">
        <v>58</v>
      </c>
      <c r="E712" s="10">
        <v>44095</v>
      </c>
      <c r="F712" t="s">
        <v>23</v>
      </c>
      <c r="G712" s="3" t="s">
        <v>104</v>
      </c>
      <c r="H712" t="s">
        <v>46</v>
      </c>
      <c r="Q712">
        <v>12</v>
      </c>
      <c r="R712">
        <v>2</v>
      </c>
      <c r="T712" s="13">
        <f t="shared" si="13"/>
        <v>14</v>
      </c>
      <c r="U712" t="s">
        <v>144</v>
      </c>
    </row>
    <row r="713" spans="1:22" s="5" customFormat="1" ht="16.2" thickBot="1" x14ac:dyDescent="0.35">
      <c r="A713" s="5">
        <v>11</v>
      </c>
      <c r="B713" s="5">
        <v>5</v>
      </c>
      <c r="C713" s="5">
        <v>207875</v>
      </c>
      <c r="D713" s="5" t="s">
        <v>58</v>
      </c>
      <c r="E713" s="11">
        <v>44095</v>
      </c>
      <c r="F713" s="5" t="s">
        <v>23</v>
      </c>
      <c r="G713" s="6" t="s">
        <v>104</v>
      </c>
      <c r="H713" s="5" t="s">
        <v>71</v>
      </c>
      <c r="Q713" s="5">
        <v>1</v>
      </c>
      <c r="T713" s="12">
        <f t="shared" si="13"/>
        <v>1</v>
      </c>
      <c r="U713" s="5" t="s">
        <v>144</v>
      </c>
      <c r="V713" s="14"/>
    </row>
    <row r="714" spans="1:22" x14ac:dyDescent="0.3">
      <c r="A714">
        <v>13</v>
      </c>
      <c r="B714">
        <v>1</v>
      </c>
      <c r="C714">
        <v>207876</v>
      </c>
      <c r="D714" t="s">
        <v>58</v>
      </c>
      <c r="E714" s="10">
        <v>44095</v>
      </c>
      <c r="F714" t="s">
        <v>23</v>
      </c>
      <c r="G714" s="3" t="s">
        <v>28</v>
      </c>
      <c r="H714" t="s">
        <v>186</v>
      </c>
      <c r="O714">
        <v>2</v>
      </c>
      <c r="T714" s="13">
        <f t="shared" si="13"/>
        <v>2</v>
      </c>
      <c r="U714" t="s">
        <v>26</v>
      </c>
    </row>
    <row r="715" spans="1:22" x14ac:dyDescent="0.3">
      <c r="A715">
        <v>13</v>
      </c>
      <c r="B715">
        <v>1</v>
      </c>
      <c r="C715">
        <v>207876</v>
      </c>
      <c r="D715" t="s">
        <v>58</v>
      </c>
      <c r="E715" s="10">
        <v>44095</v>
      </c>
      <c r="F715" t="s">
        <v>23</v>
      </c>
      <c r="G715" s="3" t="s">
        <v>28</v>
      </c>
      <c r="H715" t="s">
        <v>25</v>
      </c>
      <c r="O715">
        <v>3</v>
      </c>
      <c r="P715">
        <v>103</v>
      </c>
      <c r="Q715">
        <v>1</v>
      </c>
      <c r="T715" s="13">
        <f t="shared" si="13"/>
        <v>107</v>
      </c>
      <c r="U715" t="s">
        <v>26</v>
      </c>
    </row>
    <row r="716" spans="1:22" x14ac:dyDescent="0.3">
      <c r="A716">
        <v>13</v>
      </c>
      <c r="B716">
        <v>1</v>
      </c>
      <c r="C716">
        <v>207876</v>
      </c>
      <c r="D716" t="s">
        <v>58</v>
      </c>
      <c r="E716" s="10">
        <v>44095</v>
      </c>
      <c r="F716" t="s">
        <v>23</v>
      </c>
      <c r="G716" s="3" t="s">
        <v>28</v>
      </c>
      <c r="H716" t="s">
        <v>30</v>
      </c>
      <c r="I716">
        <v>3</v>
      </c>
      <c r="J716">
        <v>3</v>
      </c>
      <c r="T716" s="13">
        <f t="shared" si="13"/>
        <v>6</v>
      </c>
      <c r="U716" t="s">
        <v>26</v>
      </c>
    </row>
    <row r="717" spans="1:22" x14ac:dyDescent="0.3">
      <c r="A717">
        <v>13</v>
      </c>
      <c r="B717">
        <v>1</v>
      </c>
      <c r="C717">
        <v>207876</v>
      </c>
      <c r="D717" t="s">
        <v>58</v>
      </c>
      <c r="E717" s="10">
        <v>44095</v>
      </c>
      <c r="F717" t="s">
        <v>23</v>
      </c>
      <c r="G717" s="3" t="s">
        <v>28</v>
      </c>
      <c r="H717" t="s">
        <v>60</v>
      </c>
      <c r="S717">
        <v>19</v>
      </c>
      <c r="T717" s="13">
        <f t="shared" si="13"/>
        <v>19</v>
      </c>
      <c r="U717" t="s">
        <v>26</v>
      </c>
    </row>
    <row r="718" spans="1:22" x14ac:dyDescent="0.3">
      <c r="A718">
        <v>13</v>
      </c>
      <c r="B718">
        <v>1</v>
      </c>
      <c r="C718">
        <v>207876</v>
      </c>
      <c r="D718" t="s">
        <v>58</v>
      </c>
      <c r="E718" s="10">
        <v>44095</v>
      </c>
      <c r="F718" t="s">
        <v>23</v>
      </c>
      <c r="G718" s="3" t="s">
        <v>28</v>
      </c>
      <c r="H718" t="s">
        <v>274</v>
      </c>
      <c r="S718">
        <v>5</v>
      </c>
      <c r="T718" s="13">
        <f t="shared" si="13"/>
        <v>5</v>
      </c>
      <c r="U718" t="s">
        <v>26</v>
      </c>
    </row>
    <row r="719" spans="1:22" x14ac:dyDescent="0.3">
      <c r="A719">
        <v>13</v>
      </c>
      <c r="B719">
        <v>1</v>
      </c>
      <c r="C719">
        <v>207876</v>
      </c>
      <c r="D719" t="s">
        <v>58</v>
      </c>
      <c r="E719" s="10">
        <v>44095</v>
      </c>
      <c r="F719" t="s">
        <v>23</v>
      </c>
      <c r="G719" s="3" t="s">
        <v>28</v>
      </c>
      <c r="H719" t="s">
        <v>37</v>
      </c>
      <c r="O719">
        <v>2</v>
      </c>
      <c r="P719">
        <v>9</v>
      </c>
      <c r="Q719">
        <v>1</v>
      </c>
      <c r="R719">
        <v>1</v>
      </c>
      <c r="T719" s="13">
        <f t="shared" si="13"/>
        <v>13</v>
      </c>
      <c r="U719" t="s">
        <v>26</v>
      </c>
    </row>
    <row r="720" spans="1:22" x14ac:dyDescent="0.3">
      <c r="A720">
        <v>13</v>
      </c>
      <c r="B720">
        <v>1</v>
      </c>
      <c r="C720">
        <v>207876</v>
      </c>
      <c r="D720" t="s">
        <v>58</v>
      </c>
      <c r="E720" s="10">
        <v>44095</v>
      </c>
      <c r="F720" t="s">
        <v>23</v>
      </c>
      <c r="G720" s="3" t="s">
        <v>28</v>
      </c>
      <c r="H720" t="s">
        <v>31</v>
      </c>
      <c r="Q720">
        <v>8</v>
      </c>
      <c r="T720" s="13">
        <f t="shared" si="13"/>
        <v>8</v>
      </c>
      <c r="U720" t="s">
        <v>26</v>
      </c>
    </row>
    <row r="721" spans="1:22" x14ac:dyDescent="0.3">
      <c r="A721">
        <v>13</v>
      </c>
      <c r="B721">
        <v>1</v>
      </c>
      <c r="C721">
        <v>207876</v>
      </c>
      <c r="D721" t="s">
        <v>58</v>
      </c>
      <c r="E721" s="10">
        <v>44095</v>
      </c>
      <c r="F721" t="s">
        <v>23</v>
      </c>
      <c r="G721" s="3" t="s">
        <v>28</v>
      </c>
      <c r="H721" t="s">
        <v>62</v>
      </c>
      <c r="Q721">
        <v>1</v>
      </c>
      <c r="T721" s="13">
        <f t="shared" si="13"/>
        <v>1</v>
      </c>
      <c r="U721" t="s">
        <v>26</v>
      </c>
    </row>
    <row r="722" spans="1:22" x14ac:dyDescent="0.3">
      <c r="A722">
        <v>13</v>
      </c>
      <c r="B722">
        <v>1</v>
      </c>
      <c r="C722">
        <v>207876</v>
      </c>
      <c r="D722" t="s">
        <v>58</v>
      </c>
      <c r="E722" s="10">
        <v>44095</v>
      </c>
      <c r="F722" t="s">
        <v>23</v>
      </c>
      <c r="G722" s="3" t="s">
        <v>28</v>
      </c>
      <c r="H722" t="s">
        <v>34</v>
      </c>
      <c r="Q722">
        <v>19</v>
      </c>
      <c r="R722">
        <v>1</v>
      </c>
      <c r="T722" s="13">
        <f t="shared" si="13"/>
        <v>20</v>
      </c>
      <c r="U722" t="s">
        <v>26</v>
      </c>
    </row>
    <row r="723" spans="1:22" x14ac:dyDescent="0.3">
      <c r="A723">
        <v>13</v>
      </c>
      <c r="B723">
        <v>1</v>
      </c>
      <c r="C723">
        <v>207876</v>
      </c>
      <c r="D723" t="s">
        <v>58</v>
      </c>
      <c r="E723" s="10">
        <v>44095</v>
      </c>
      <c r="F723" t="s">
        <v>23</v>
      </c>
      <c r="G723" s="3" t="s">
        <v>28</v>
      </c>
      <c r="H723" t="s">
        <v>38</v>
      </c>
      <c r="R723">
        <v>1</v>
      </c>
      <c r="T723" s="13">
        <f t="shared" si="13"/>
        <v>1</v>
      </c>
      <c r="U723" t="s">
        <v>26</v>
      </c>
    </row>
    <row r="724" spans="1:22" x14ac:dyDescent="0.3">
      <c r="A724">
        <v>13</v>
      </c>
      <c r="B724">
        <v>1</v>
      </c>
      <c r="C724">
        <v>207876</v>
      </c>
      <c r="D724" t="s">
        <v>58</v>
      </c>
      <c r="E724" s="10">
        <v>44095</v>
      </c>
      <c r="F724" t="s">
        <v>23</v>
      </c>
      <c r="G724" s="3" t="s">
        <v>28</v>
      </c>
      <c r="H724" t="s">
        <v>32</v>
      </c>
      <c r="O724">
        <v>1</v>
      </c>
      <c r="P724">
        <v>3</v>
      </c>
      <c r="T724" s="13">
        <f t="shared" si="13"/>
        <v>4</v>
      </c>
      <c r="U724" t="s">
        <v>26</v>
      </c>
    </row>
    <row r="725" spans="1:22" x14ac:dyDescent="0.3">
      <c r="A725">
        <v>13</v>
      </c>
      <c r="B725">
        <v>1</v>
      </c>
      <c r="C725">
        <v>207876</v>
      </c>
      <c r="D725" t="s">
        <v>58</v>
      </c>
      <c r="E725" s="10">
        <v>44095</v>
      </c>
      <c r="F725" t="s">
        <v>23</v>
      </c>
      <c r="G725" s="3" t="s">
        <v>28</v>
      </c>
      <c r="H725" t="s">
        <v>46</v>
      </c>
      <c r="R725">
        <v>1</v>
      </c>
      <c r="T725" s="13">
        <f t="shared" si="13"/>
        <v>1</v>
      </c>
      <c r="U725" t="s">
        <v>26</v>
      </c>
    </row>
    <row r="726" spans="1:22" x14ac:dyDescent="0.3">
      <c r="A726">
        <v>13</v>
      </c>
      <c r="B726">
        <v>1</v>
      </c>
      <c r="C726">
        <v>207876</v>
      </c>
      <c r="D726" t="s">
        <v>58</v>
      </c>
      <c r="E726" s="10">
        <v>44095</v>
      </c>
      <c r="F726" t="s">
        <v>23</v>
      </c>
      <c r="G726" s="3" t="s">
        <v>28</v>
      </c>
      <c r="H726" t="s">
        <v>63</v>
      </c>
      <c r="P726">
        <v>1</v>
      </c>
      <c r="T726" s="13">
        <f t="shared" si="13"/>
        <v>1</v>
      </c>
      <c r="U726" t="s">
        <v>26</v>
      </c>
    </row>
    <row r="727" spans="1:22" x14ac:dyDescent="0.3">
      <c r="A727">
        <v>13</v>
      </c>
      <c r="B727">
        <v>1</v>
      </c>
      <c r="C727">
        <v>207876</v>
      </c>
      <c r="D727" t="s">
        <v>58</v>
      </c>
      <c r="E727" s="10">
        <v>44095</v>
      </c>
      <c r="F727" t="s">
        <v>23</v>
      </c>
      <c r="G727" s="3" t="s">
        <v>52</v>
      </c>
      <c r="H727" t="s">
        <v>31</v>
      </c>
      <c r="R727">
        <v>1</v>
      </c>
      <c r="T727" s="13">
        <f t="shared" si="13"/>
        <v>1</v>
      </c>
      <c r="U727" t="s">
        <v>26</v>
      </c>
    </row>
    <row r="728" spans="1:22" x14ac:dyDescent="0.3">
      <c r="A728">
        <v>13</v>
      </c>
      <c r="B728">
        <v>1</v>
      </c>
      <c r="C728">
        <v>207876</v>
      </c>
      <c r="D728" t="s">
        <v>58</v>
      </c>
      <c r="E728" s="10">
        <v>44095</v>
      </c>
      <c r="F728" t="s">
        <v>23</v>
      </c>
      <c r="G728" s="3" t="s">
        <v>28</v>
      </c>
      <c r="H728" t="s">
        <v>29</v>
      </c>
      <c r="S728">
        <v>1</v>
      </c>
      <c r="T728" s="13">
        <f t="shared" si="13"/>
        <v>1</v>
      </c>
      <c r="U728" t="s">
        <v>53</v>
      </c>
    </row>
    <row r="729" spans="1:22" x14ac:dyDescent="0.3">
      <c r="A729">
        <v>13</v>
      </c>
      <c r="B729">
        <v>1</v>
      </c>
      <c r="C729">
        <v>207876</v>
      </c>
      <c r="D729" t="s">
        <v>58</v>
      </c>
      <c r="E729" s="10">
        <v>44095</v>
      </c>
      <c r="F729" t="s">
        <v>23</v>
      </c>
      <c r="G729" s="3" t="s">
        <v>28</v>
      </c>
      <c r="H729" t="s">
        <v>64</v>
      </c>
      <c r="S729">
        <v>1</v>
      </c>
      <c r="T729" s="13">
        <f t="shared" si="13"/>
        <v>1</v>
      </c>
      <c r="U729" t="s">
        <v>53</v>
      </c>
    </row>
    <row r="730" spans="1:22" s="5" customFormat="1" ht="16.2" thickBot="1" x14ac:dyDescent="0.35">
      <c r="A730" s="5">
        <v>13</v>
      </c>
      <c r="B730" s="5">
        <v>1</v>
      </c>
      <c r="C730" s="5">
        <v>207876</v>
      </c>
      <c r="D730" s="5" t="s">
        <v>58</v>
      </c>
      <c r="E730" s="11">
        <v>44095</v>
      </c>
      <c r="F730" s="5" t="s">
        <v>23</v>
      </c>
      <c r="G730" s="6" t="s">
        <v>52</v>
      </c>
      <c r="H730" s="5" t="s">
        <v>65</v>
      </c>
      <c r="S730" s="5">
        <v>1</v>
      </c>
      <c r="T730" s="12">
        <f t="shared" si="13"/>
        <v>1</v>
      </c>
      <c r="U730" s="5" t="s">
        <v>53</v>
      </c>
      <c r="V730" s="14"/>
    </row>
    <row r="731" spans="1:22" x14ac:dyDescent="0.3">
      <c r="A731">
        <v>13</v>
      </c>
      <c r="B731">
        <v>2</v>
      </c>
      <c r="C731">
        <v>207877</v>
      </c>
      <c r="D731" t="s">
        <v>58</v>
      </c>
      <c r="E731" s="10">
        <v>44095</v>
      </c>
      <c r="F731" t="s">
        <v>23</v>
      </c>
      <c r="G731" s="3" t="s">
        <v>28</v>
      </c>
      <c r="H731" t="s">
        <v>25</v>
      </c>
      <c r="N731">
        <v>1</v>
      </c>
      <c r="O731">
        <v>6</v>
      </c>
      <c r="P731">
        <v>109</v>
      </c>
      <c r="Q731">
        <v>4</v>
      </c>
      <c r="T731" s="13">
        <f t="shared" si="13"/>
        <v>120</v>
      </c>
      <c r="U731" t="s">
        <v>26</v>
      </c>
    </row>
    <row r="732" spans="1:22" x14ac:dyDescent="0.3">
      <c r="A732">
        <v>13</v>
      </c>
      <c r="B732">
        <v>2</v>
      </c>
      <c r="C732">
        <v>207877</v>
      </c>
      <c r="D732" t="s">
        <v>58</v>
      </c>
      <c r="E732" s="10">
        <v>44095</v>
      </c>
      <c r="F732" t="s">
        <v>23</v>
      </c>
      <c r="G732" s="3" t="s">
        <v>28</v>
      </c>
      <c r="H732" t="s">
        <v>27</v>
      </c>
      <c r="P732">
        <v>2</v>
      </c>
      <c r="T732" s="13">
        <f t="shared" si="13"/>
        <v>2</v>
      </c>
      <c r="U732" t="s">
        <v>26</v>
      </c>
    </row>
    <row r="733" spans="1:22" x14ac:dyDescent="0.3">
      <c r="A733">
        <v>13</v>
      </c>
      <c r="B733">
        <v>2</v>
      </c>
      <c r="C733">
        <v>207877</v>
      </c>
      <c r="D733" t="s">
        <v>58</v>
      </c>
      <c r="E733" s="10">
        <v>44095</v>
      </c>
      <c r="F733" t="s">
        <v>23</v>
      </c>
      <c r="G733" s="3" t="s">
        <v>28</v>
      </c>
      <c r="H733" t="s">
        <v>30</v>
      </c>
      <c r="I733">
        <v>15</v>
      </c>
      <c r="J733">
        <v>35</v>
      </c>
      <c r="T733" s="13">
        <f t="shared" si="13"/>
        <v>50</v>
      </c>
      <c r="U733" t="s">
        <v>26</v>
      </c>
    </row>
    <row r="734" spans="1:22" x14ac:dyDescent="0.3">
      <c r="A734">
        <v>13</v>
      </c>
      <c r="B734">
        <v>2</v>
      </c>
      <c r="C734">
        <v>207877</v>
      </c>
      <c r="D734" t="s">
        <v>58</v>
      </c>
      <c r="E734" s="10">
        <v>44095</v>
      </c>
      <c r="F734" t="s">
        <v>23</v>
      </c>
      <c r="G734" s="3" t="s">
        <v>28</v>
      </c>
      <c r="H734" t="s">
        <v>60</v>
      </c>
      <c r="S734">
        <v>6</v>
      </c>
      <c r="T734" s="13">
        <f t="shared" si="13"/>
        <v>6</v>
      </c>
      <c r="U734" t="s">
        <v>26</v>
      </c>
    </row>
    <row r="735" spans="1:22" x14ac:dyDescent="0.3">
      <c r="A735">
        <v>13</v>
      </c>
      <c r="B735">
        <v>2</v>
      </c>
      <c r="C735">
        <v>207877</v>
      </c>
      <c r="D735" t="s">
        <v>58</v>
      </c>
      <c r="E735" s="10">
        <v>44095</v>
      </c>
      <c r="F735" t="s">
        <v>23</v>
      </c>
      <c r="G735" s="3" t="s">
        <v>28</v>
      </c>
      <c r="H735" t="s">
        <v>37</v>
      </c>
      <c r="O735">
        <v>6</v>
      </c>
      <c r="P735">
        <v>6</v>
      </c>
      <c r="Q735">
        <v>3</v>
      </c>
      <c r="R735">
        <v>4</v>
      </c>
      <c r="T735" s="13">
        <f t="shared" si="13"/>
        <v>19</v>
      </c>
      <c r="U735" t="s">
        <v>26</v>
      </c>
    </row>
    <row r="736" spans="1:22" x14ac:dyDescent="0.3">
      <c r="A736">
        <v>13</v>
      </c>
      <c r="B736">
        <v>2</v>
      </c>
      <c r="C736">
        <v>207877</v>
      </c>
      <c r="D736" t="s">
        <v>58</v>
      </c>
      <c r="E736" s="10">
        <v>44095</v>
      </c>
      <c r="F736" t="s">
        <v>23</v>
      </c>
      <c r="G736" s="3" t="s">
        <v>28</v>
      </c>
      <c r="H736" t="s">
        <v>66</v>
      </c>
      <c r="O736">
        <v>1</v>
      </c>
      <c r="P736">
        <v>1</v>
      </c>
      <c r="T736" s="13">
        <f t="shared" si="13"/>
        <v>2</v>
      </c>
      <c r="U736" t="s">
        <v>26</v>
      </c>
    </row>
    <row r="737" spans="1:22" x14ac:dyDescent="0.3">
      <c r="A737">
        <v>13</v>
      </c>
      <c r="B737">
        <v>2</v>
      </c>
      <c r="C737">
        <v>207877</v>
      </c>
      <c r="D737" t="s">
        <v>58</v>
      </c>
      <c r="E737" s="10">
        <v>44095</v>
      </c>
      <c r="F737" t="s">
        <v>23</v>
      </c>
      <c r="G737" s="3" t="s">
        <v>28</v>
      </c>
      <c r="H737" t="s">
        <v>32</v>
      </c>
      <c r="O737">
        <v>10</v>
      </c>
      <c r="T737" s="13">
        <f t="shared" si="13"/>
        <v>10</v>
      </c>
      <c r="U737" t="s">
        <v>26</v>
      </c>
    </row>
    <row r="738" spans="1:22" x14ac:dyDescent="0.3">
      <c r="A738">
        <v>13</v>
      </c>
      <c r="B738">
        <v>2</v>
      </c>
      <c r="C738">
        <v>207877</v>
      </c>
      <c r="D738" t="s">
        <v>58</v>
      </c>
      <c r="E738" s="10">
        <v>44095</v>
      </c>
      <c r="F738" t="s">
        <v>23</v>
      </c>
      <c r="G738" s="3" t="s">
        <v>28</v>
      </c>
      <c r="H738" t="s">
        <v>38</v>
      </c>
      <c r="Q738">
        <v>6</v>
      </c>
      <c r="R738">
        <v>10</v>
      </c>
      <c r="T738" s="13">
        <f t="shared" si="13"/>
        <v>16</v>
      </c>
      <c r="U738" t="s">
        <v>26</v>
      </c>
    </row>
    <row r="739" spans="1:22" x14ac:dyDescent="0.3">
      <c r="A739">
        <v>13</v>
      </c>
      <c r="B739">
        <v>2</v>
      </c>
      <c r="C739">
        <v>207877</v>
      </c>
      <c r="D739" t="s">
        <v>58</v>
      </c>
      <c r="E739" s="10">
        <v>44095</v>
      </c>
      <c r="F739" t="s">
        <v>23</v>
      </c>
      <c r="G739" s="3" t="s">
        <v>28</v>
      </c>
      <c r="H739" t="s">
        <v>31</v>
      </c>
      <c r="P739">
        <v>1</v>
      </c>
      <c r="Q739">
        <v>4</v>
      </c>
      <c r="T739" s="13">
        <f t="shared" si="13"/>
        <v>5</v>
      </c>
      <c r="U739" t="s">
        <v>26</v>
      </c>
    </row>
    <row r="740" spans="1:22" x14ac:dyDescent="0.3">
      <c r="A740">
        <v>13</v>
      </c>
      <c r="B740">
        <v>2</v>
      </c>
      <c r="C740">
        <v>207877</v>
      </c>
      <c r="D740" t="s">
        <v>58</v>
      </c>
      <c r="E740" s="10">
        <v>44095</v>
      </c>
      <c r="F740" t="s">
        <v>23</v>
      </c>
      <c r="G740" s="3" t="s">
        <v>28</v>
      </c>
      <c r="H740" t="s">
        <v>33</v>
      </c>
      <c r="Q740">
        <v>1</v>
      </c>
      <c r="T740" s="13">
        <f t="shared" si="13"/>
        <v>1</v>
      </c>
      <c r="U740" t="s">
        <v>26</v>
      </c>
    </row>
    <row r="741" spans="1:22" x14ac:dyDescent="0.3">
      <c r="A741">
        <v>13</v>
      </c>
      <c r="B741">
        <v>2</v>
      </c>
      <c r="C741">
        <v>207877</v>
      </c>
      <c r="D741" t="s">
        <v>58</v>
      </c>
      <c r="E741" s="10">
        <v>44095</v>
      </c>
      <c r="F741" t="s">
        <v>23</v>
      </c>
      <c r="G741" s="3" t="s">
        <v>28</v>
      </c>
      <c r="H741" t="s">
        <v>34</v>
      </c>
      <c r="Q741">
        <v>17</v>
      </c>
      <c r="R741">
        <v>1</v>
      </c>
      <c r="T741" s="13">
        <f t="shared" si="13"/>
        <v>18</v>
      </c>
      <c r="U741" t="s">
        <v>26</v>
      </c>
    </row>
    <row r="742" spans="1:22" x14ac:dyDescent="0.3">
      <c r="A742">
        <v>13</v>
      </c>
      <c r="B742">
        <v>2</v>
      </c>
      <c r="C742">
        <v>207877</v>
      </c>
      <c r="D742" t="s">
        <v>58</v>
      </c>
      <c r="E742" s="10">
        <v>44095</v>
      </c>
      <c r="F742" t="s">
        <v>23</v>
      </c>
      <c r="G742" s="3" t="s">
        <v>28</v>
      </c>
      <c r="H742" t="s">
        <v>43</v>
      </c>
      <c r="K742">
        <v>1</v>
      </c>
      <c r="T742" s="13">
        <f t="shared" si="13"/>
        <v>1</v>
      </c>
      <c r="U742" t="s">
        <v>26</v>
      </c>
    </row>
    <row r="743" spans="1:22" x14ac:dyDescent="0.3">
      <c r="A743">
        <v>13</v>
      </c>
      <c r="B743">
        <v>2</v>
      </c>
      <c r="C743">
        <v>207877</v>
      </c>
      <c r="D743" t="s">
        <v>58</v>
      </c>
      <c r="E743" s="10">
        <v>44095</v>
      </c>
      <c r="F743" t="s">
        <v>23</v>
      </c>
      <c r="G743" s="3" t="s">
        <v>28</v>
      </c>
      <c r="H743" t="s">
        <v>41</v>
      </c>
      <c r="S743">
        <v>7</v>
      </c>
      <c r="T743" s="13">
        <f t="shared" si="13"/>
        <v>7</v>
      </c>
      <c r="U743" t="s">
        <v>26</v>
      </c>
    </row>
    <row r="744" spans="1:22" x14ac:dyDescent="0.3">
      <c r="A744">
        <v>13</v>
      </c>
      <c r="B744">
        <v>2</v>
      </c>
      <c r="C744">
        <v>207877</v>
      </c>
      <c r="D744" t="s">
        <v>58</v>
      </c>
      <c r="E744" s="10">
        <v>44095</v>
      </c>
      <c r="F744" t="s">
        <v>23</v>
      </c>
      <c r="G744" s="3" t="s">
        <v>28</v>
      </c>
      <c r="H744" t="s">
        <v>67</v>
      </c>
      <c r="P744">
        <v>1</v>
      </c>
      <c r="T744" s="13">
        <f t="shared" si="13"/>
        <v>1</v>
      </c>
      <c r="U744" t="s">
        <v>26</v>
      </c>
    </row>
    <row r="745" spans="1:22" x14ac:dyDescent="0.3">
      <c r="A745">
        <v>13</v>
      </c>
      <c r="B745">
        <v>2</v>
      </c>
      <c r="C745">
        <v>207877</v>
      </c>
      <c r="D745" t="s">
        <v>58</v>
      </c>
      <c r="E745" s="10">
        <v>44095</v>
      </c>
      <c r="F745" t="s">
        <v>23</v>
      </c>
      <c r="G745" s="3" t="s">
        <v>28</v>
      </c>
      <c r="H745" t="s">
        <v>46</v>
      </c>
      <c r="Q745">
        <v>12</v>
      </c>
      <c r="R745">
        <v>1</v>
      </c>
      <c r="T745" s="13">
        <f t="shared" si="13"/>
        <v>13</v>
      </c>
      <c r="U745" t="s">
        <v>26</v>
      </c>
    </row>
    <row r="746" spans="1:22" s="5" customFormat="1" ht="16.2" thickBot="1" x14ac:dyDescent="0.35">
      <c r="A746" s="5">
        <v>13</v>
      </c>
      <c r="B746" s="5">
        <v>2</v>
      </c>
      <c r="C746" s="5">
        <v>207877</v>
      </c>
      <c r="D746" s="5" t="s">
        <v>58</v>
      </c>
      <c r="E746" s="11">
        <v>44095</v>
      </c>
      <c r="F746" s="5" t="s">
        <v>23</v>
      </c>
      <c r="G746" s="6" t="s">
        <v>28</v>
      </c>
      <c r="H746" s="5" t="s">
        <v>45</v>
      </c>
      <c r="K746" s="5">
        <v>3</v>
      </c>
      <c r="T746" s="12">
        <f t="shared" si="13"/>
        <v>3</v>
      </c>
      <c r="U746" s="5" t="s">
        <v>26</v>
      </c>
      <c r="V746" s="14"/>
    </row>
    <row r="747" spans="1:22" x14ac:dyDescent="0.3">
      <c r="A747">
        <v>13</v>
      </c>
      <c r="B747">
        <v>3</v>
      </c>
      <c r="C747">
        <v>207878</v>
      </c>
      <c r="D747" t="s">
        <v>58</v>
      </c>
      <c r="E747" s="10">
        <v>44095</v>
      </c>
      <c r="F747" t="s">
        <v>23</v>
      </c>
      <c r="G747" s="3" t="s">
        <v>68</v>
      </c>
      <c r="H747" t="s">
        <v>27</v>
      </c>
      <c r="P747">
        <v>2</v>
      </c>
      <c r="T747" s="13">
        <f t="shared" si="13"/>
        <v>2</v>
      </c>
      <c r="U747" t="s">
        <v>26</v>
      </c>
    </row>
    <row r="748" spans="1:22" x14ac:dyDescent="0.3">
      <c r="A748">
        <v>13</v>
      </c>
      <c r="B748">
        <v>3</v>
      </c>
      <c r="C748">
        <v>207878</v>
      </c>
      <c r="D748" t="s">
        <v>58</v>
      </c>
      <c r="E748" s="10">
        <v>44095</v>
      </c>
      <c r="F748" t="s">
        <v>23</v>
      </c>
      <c r="G748" s="3" t="s">
        <v>68</v>
      </c>
      <c r="H748" t="s">
        <v>25</v>
      </c>
      <c r="O748">
        <v>21</v>
      </c>
      <c r="P748">
        <v>62</v>
      </c>
      <c r="Q748">
        <v>4</v>
      </c>
      <c r="T748" s="13">
        <f t="shared" si="13"/>
        <v>87</v>
      </c>
      <c r="U748" t="s">
        <v>26</v>
      </c>
    </row>
    <row r="749" spans="1:22" x14ac:dyDescent="0.3">
      <c r="A749">
        <v>13</v>
      </c>
      <c r="B749">
        <v>3</v>
      </c>
      <c r="C749">
        <v>207878</v>
      </c>
      <c r="D749" t="s">
        <v>58</v>
      </c>
      <c r="E749" s="10">
        <v>44095</v>
      </c>
      <c r="F749" t="s">
        <v>23</v>
      </c>
      <c r="G749" s="3" t="s">
        <v>68</v>
      </c>
      <c r="H749" t="s">
        <v>69</v>
      </c>
      <c r="I749">
        <v>2</v>
      </c>
      <c r="T749" s="13">
        <f t="shared" si="13"/>
        <v>2</v>
      </c>
      <c r="U749" t="s">
        <v>26</v>
      </c>
    </row>
    <row r="750" spans="1:22" x14ac:dyDescent="0.3">
      <c r="A750">
        <v>13</v>
      </c>
      <c r="B750">
        <v>3</v>
      </c>
      <c r="C750">
        <v>207878</v>
      </c>
      <c r="D750" t="s">
        <v>58</v>
      </c>
      <c r="E750" s="10">
        <v>44095</v>
      </c>
      <c r="F750" t="s">
        <v>23</v>
      </c>
      <c r="G750" s="3" t="s">
        <v>28</v>
      </c>
      <c r="H750" t="s">
        <v>30</v>
      </c>
      <c r="I750">
        <v>19</v>
      </c>
      <c r="J750">
        <v>19</v>
      </c>
      <c r="T750" s="13">
        <f t="shared" si="13"/>
        <v>38</v>
      </c>
      <c r="U750" t="s">
        <v>26</v>
      </c>
    </row>
    <row r="751" spans="1:22" x14ac:dyDescent="0.3">
      <c r="A751">
        <v>13</v>
      </c>
      <c r="B751">
        <v>3</v>
      </c>
      <c r="C751">
        <v>207878</v>
      </c>
      <c r="D751" t="s">
        <v>58</v>
      </c>
      <c r="E751" s="10">
        <v>44095</v>
      </c>
      <c r="F751" t="s">
        <v>23</v>
      </c>
      <c r="G751" s="3" t="s">
        <v>28</v>
      </c>
      <c r="H751" t="s">
        <v>60</v>
      </c>
      <c r="S751">
        <v>1</v>
      </c>
      <c r="T751" s="13">
        <f t="shared" si="13"/>
        <v>1</v>
      </c>
      <c r="U751" t="s">
        <v>26</v>
      </c>
    </row>
    <row r="752" spans="1:22" x14ac:dyDescent="0.3">
      <c r="A752">
        <v>13</v>
      </c>
      <c r="B752">
        <v>3</v>
      </c>
      <c r="C752">
        <v>207878</v>
      </c>
      <c r="D752" t="s">
        <v>58</v>
      </c>
      <c r="E752" s="10">
        <v>44095</v>
      </c>
      <c r="F752" t="s">
        <v>23</v>
      </c>
      <c r="G752" s="3" t="s">
        <v>28</v>
      </c>
      <c r="H752" t="s">
        <v>44</v>
      </c>
      <c r="O752">
        <v>1</v>
      </c>
      <c r="T752" s="13">
        <f t="shared" si="13"/>
        <v>1</v>
      </c>
      <c r="U752" t="s">
        <v>26</v>
      </c>
    </row>
    <row r="753" spans="1:22" x14ac:dyDescent="0.3">
      <c r="A753">
        <v>13</v>
      </c>
      <c r="B753">
        <v>3</v>
      </c>
      <c r="C753">
        <v>207878</v>
      </c>
      <c r="D753" t="s">
        <v>58</v>
      </c>
      <c r="E753" s="10">
        <v>44095</v>
      </c>
      <c r="F753" t="s">
        <v>23</v>
      </c>
      <c r="G753" s="3" t="s">
        <v>28</v>
      </c>
      <c r="H753" t="s">
        <v>32</v>
      </c>
      <c r="O753">
        <v>8</v>
      </c>
      <c r="P753">
        <v>12</v>
      </c>
      <c r="T753" s="13">
        <f t="shared" si="13"/>
        <v>20</v>
      </c>
      <c r="U753" t="s">
        <v>26</v>
      </c>
    </row>
    <row r="754" spans="1:22" x14ac:dyDescent="0.3">
      <c r="A754">
        <v>13</v>
      </c>
      <c r="B754">
        <v>3</v>
      </c>
      <c r="C754">
        <v>207878</v>
      </c>
      <c r="D754" t="s">
        <v>58</v>
      </c>
      <c r="E754" s="10">
        <v>44095</v>
      </c>
      <c r="F754" t="s">
        <v>23</v>
      </c>
      <c r="G754" s="3" t="s">
        <v>28</v>
      </c>
      <c r="H754" t="s">
        <v>37</v>
      </c>
      <c r="O754">
        <v>5</v>
      </c>
      <c r="P754">
        <v>10</v>
      </c>
      <c r="Q754">
        <v>2</v>
      </c>
      <c r="R754">
        <v>8</v>
      </c>
      <c r="T754" s="13">
        <f t="shared" si="13"/>
        <v>25</v>
      </c>
      <c r="U754" t="s">
        <v>26</v>
      </c>
    </row>
    <row r="755" spans="1:22" ht="31.2" x14ac:dyDescent="0.3">
      <c r="A755">
        <v>13</v>
      </c>
      <c r="B755">
        <v>3</v>
      </c>
      <c r="C755">
        <v>207878</v>
      </c>
      <c r="D755" t="s">
        <v>58</v>
      </c>
      <c r="E755" s="10">
        <v>44095</v>
      </c>
      <c r="F755" t="s">
        <v>23</v>
      </c>
      <c r="G755" s="3" t="s">
        <v>28</v>
      </c>
      <c r="H755" t="s">
        <v>38</v>
      </c>
      <c r="Q755">
        <v>3</v>
      </c>
      <c r="R755">
        <v>4</v>
      </c>
      <c r="T755" s="13">
        <f t="shared" si="13"/>
        <v>7</v>
      </c>
      <c r="U755" t="s">
        <v>26</v>
      </c>
      <c r="V755" s="15" t="s">
        <v>70</v>
      </c>
    </row>
    <row r="756" spans="1:22" x14ac:dyDescent="0.3">
      <c r="A756">
        <v>13</v>
      </c>
      <c r="B756">
        <v>3</v>
      </c>
      <c r="C756">
        <v>207878</v>
      </c>
      <c r="D756" t="s">
        <v>58</v>
      </c>
      <c r="E756" s="10">
        <v>44095</v>
      </c>
      <c r="F756" t="s">
        <v>23</v>
      </c>
      <c r="G756" s="3" t="s">
        <v>28</v>
      </c>
      <c r="H756" t="s">
        <v>31</v>
      </c>
      <c r="Q756">
        <v>1</v>
      </c>
      <c r="T756" s="13">
        <f t="shared" si="13"/>
        <v>1</v>
      </c>
      <c r="U756" t="s">
        <v>26</v>
      </c>
    </row>
    <row r="757" spans="1:22" x14ac:dyDescent="0.3">
      <c r="A757">
        <v>13</v>
      </c>
      <c r="B757">
        <v>3</v>
      </c>
      <c r="C757">
        <v>207878</v>
      </c>
      <c r="D757" t="s">
        <v>58</v>
      </c>
      <c r="E757" s="10">
        <v>44095</v>
      </c>
      <c r="F757" t="s">
        <v>23</v>
      </c>
      <c r="G757" s="3" t="s">
        <v>28</v>
      </c>
      <c r="H757" t="s">
        <v>71</v>
      </c>
      <c r="Q757">
        <v>1</v>
      </c>
      <c r="T757" s="13">
        <f t="shared" si="13"/>
        <v>1</v>
      </c>
      <c r="U757" t="s">
        <v>26</v>
      </c>
    </row>
    <row r="758" spans="1:22" x14ac:dyDescent="0.3">
      <c r="A758">
        <v>13</v>
      </c>
      <c r="B758">
        <v>3</v>
      </c>
      <c r="C758">
        <v>207878</v>
      </c>
      <c r="D758" t="s">
        <v>58</v>
      </c>
      <c r="E758" s="10">
        <v>44095</v>
      </c>
      <c r="F758" t="s">
        <v>23</v>
      </c>
      <c r="G758" s="3" t="s">
        <v>28</v>
      </c>
      <c r="H758" t="s">
        <v>34</v>
      </c>
      <c r="R758">
        <v>1</v>
      </c>
      <c r="T758" s="13">
        <f t="shared" si="13"/>
        <v>1</v>
      </c>
      <c r="U758" t="s">
        <v>26</v>
      </c>
    </row>
    <row r="759" spans="1:22" x14ac:dyDescent="0.3">
      <c r="A759">
        <v>13</v>
      </c>
      <c r="B759">
        <v>3</v>
      </c>
      <c r="C759">
        <v>207878</v>
      </c>
      <c r="D759" t="s">
        <v>58</v>
      </c>
      <c r="E759" s="10">
        <v>44095</v>
      </c>
      <c r="F759" t="s">
        <v>23</v>
      </c>
      <c r="G759" s="3" t="s">
        <v>28</v>
      </c>
      <c r="H759" t="s">
        <v>43</v>
      </c>
      <c r="I759">
        <v>1</v>
      </c>
      <c r="K759">
        <v>7</v>
      </c>
      <c r="Q759">
        <v>10</v>
      </c>
      <c r="R759">
        <v>2</v>
      </c>
      <c r="T759" s="13">
        <f t="shared" si="13"/>
        <v>20</v>
      </c>
      <c r="U759" t="s">
        <v>26</v>
      </c>
    </row>
    <row r="760" spans="1:22" x14ac:dyDescent="0.3">
      <c r="A760">
        <v>13</v>
      </c>
      <c r="B760">
        <v>3</v>
      </c>
      <c r="C760">
        <v>207878</v>
      </c>
      <c r="D760" t="s">
        <v>58</v>
      </c>
      <c r="E760" s="10">
        <v>44095</v>
      </c>
      <c r="F760" t="s">
        <v>23</v>
      </c>
      <c r="G760" s="3" t="s">
        <v>28</v>
      </c>
      <c r="H760" t="s">
        <v>45</v>
      </c>
      <c r="K760">
        <v>7</v>
      </c>
      <c r="T760" s="13">
        <f t="shared" ref="T760:T822" si="14">SUM(I760:S760)</f>
        <v>7</v>
      </c>
      <c r="U760" t="s">
        <v>26</v>
      </c>
    </row>
    <row r="761" spans="1:22" x14ac:dyDescent="0.3">
      <c r="A761">
        <v>13</v>
      </c>
      <c r="B761">
        <v>3</v>
      </c>
      <c r="C761">
        <v>207878</v>
      </c>
      <c r="D761" t="s">
        <v>58</v>
      </c>
      <c r="E761" s="10">
        <v>44095</v>
      </c>
      <c r="F761" t="s">
        <v>23</v>
      </c>
      <c r="G761" s="3" t="s">
        <v>28</v>
      </c>
      <c r="H761" t="s">
        <v>46</v>
      </c>
      <c r="Q761">
        <v>22</v>
      </c>
      <c r="R761">
        <v>2</v>
      </c>
      <c r="T761" s="13">
        <f t="shared" si="14"/>
        <v>24</v>
      </c>
      <c r="U761" t="s">
        <v>26</v>
      </c>
    </row>
    <row r="762" spans="1:22" x14ac:dyDescent="0.3">
      <c r="A762">
        <v>13</v>
      </c>
      <c r="B762">
        <v>3</v>
      </c>
      <c r="C762">
        <v>207878</v>
      </c>
      <c r="D762" t="s">
        <v>58</v>
      </c>
      <c r="E762" s="10">
        <v>44095</v>
      </c>
      <c r="F762" t="s">
        <v>23</v>
      </c>
      <c r="G762" s="3" t="s">
        <v>28</v>
      </c>
      <c r="H762" t="s">
        <v>50</v>
      </c>
      <c r="S762">
        <v>1</v>
      </c>
      <c r="T762" s="13">
        <f t="shared" si="14"/>
        <v>1</v>
      </c>
      <c r="U762" t="s">
        <v>26</v>
      </c>
    </row>
    <row r="763" spans="1:22" s="5" customFormat="1" ht="16.2" thickBot="1" x14ac:dyDescent="0.35">
      <c r="A763" s="5">
        <v>13</v>
      </c>
      <c r="B763" s="5">
        <v>3</v>
      </c>
      <c r="C763" s="5">
        <v>207878</v>
      </c>
      <c r="D763" s="5" t="s">
        <v>58</v>
      </c>
      <c r="E763" s="11">
        <v>44095</v>
      </c>
      <c r="F763" s="5" t="s">
        <v>23</v>
      </c>
      <c r="G763" s="6" t="s">
        <v>28</v>
      </c>
      <c r="H763" s="5" t="s">
        <v>41</v>
      </c>
      <c r="S763" s="5">
        <v>4</v>
      </c>
      <c r="T763" s="12">
        <f t="shared" si="14"/>
        <v>4</v>
      </c>
      <c r="U763" s="5" t="s">
        <v>26</v>
      </c>
      <c r="V763" s="14"/>
    </row>
    <row r="764" spans="1:22" x14ac:dyDescent="0.3">
      <c r="A764">
        <v>13</v>
      </c>
      <c r="B764">
        <v>4</v>
      </c>
      <c r="C764">
        <v>207879</v>
      </c>
      <c r="D764" t="s">
        <v>58</v>
      </c>
      <c r="E764" s="10">
        <v>44095</v>
      </c>
      <c r="F764" t="s">
        <v>23</v>
      </c>
      <c r="G764" s="3" t="s">
        <v>72</v>
      </c>
      <c r="H764" t="s">
        <v>25</v>
      </c>
      <c r="M764">
        <v>1</v>
      </c>
      <c r="N764">
        <v>5</v>
      </c>
      <c r="O764">
        <v>30</v>
      </c>
      <c r="P764">
        <v>50</v>
      </c>
      <c r="Q764">
        <v>3</v>
      </c>
      <c r="T764" s="13">
        <f t="shared" si="14"/>
        <v>89</v>
      </c>
      <c r="U764" t="s">
        <v>26</v>
      </c>
    </row>
    <row r="765" spans="1:22" x14ac:dyDescent="0.3">
      <c r="A765">
        <v>13</v>
      </c>
      <c r="B765">
        <v>4</v>
      </c>
      <c r="C765">
        <v>207879</v>
      </c>
      <c r="D765" t="s">
        <v>58</v>
      </c>
      <c r="E765" s="10">
        <v>44095</v>
      </c>
      <c r="F765" t="s">
        <v>23</v>
      </c>
      <c r="G765" s="3" t="s">
        <v>72</v>
      </c>
      <c r="H765" t="s">
        <v>27</v>
      </c>
      <c r="P765">
        <v>1</v>
      </c>
      <c r="T765" s="13">
        <f t="shared" si="14"/>
        <v>1</v>
      </c>
      <c r="U765" t="s">
        <v>26</v>
      </c>
    </row>
    <row r="766" spans="1:22" x14ac:dyDescent="0.3">
      <c r="A766">
        <v>13</v>
      </c>
      <c r="B766">
        <v>4</v>
      </c>
      <c r="C766">
        <v>207879</v>
      </c>
      <c r="D766" t="s">
        <v>58</v>
      </c>
      <c r="E766" s="10">
        <v>44095</v>
      </c>
      <c r="F766" t="s">
        <v>23</v>
      </c>
      <c r="G766" s="3" t="s">
        <v>72</v>
      </c>
      <c r="H766" t="s">
        <v>69</v>
      </c>
      <c r="I766">
        <v>1</v>
      </c>
      <c r="T766" s="13">
        <f t="shared" si="14"/>
        <v>1</v>
      </c>
      <c r="U766" t="s">
        <v>26</v>
      </c>
    </row>
    <row r="767" spans="1:22" x14ac:dyDescent="0.3">
      <c r="A767">
        <v>13</v>
      </c>
      <c r="B767">
        <v>4</v>
      </c>
      <c r="C767">
        <v>207879</v>
      </c>
      <c r="D767" t="s">
        <v>58</v>
      </c>
      <c r="E767" s="10">
        <v>44095</v>
      </c>
      <c r="F767" t="s">
        <v>23</v>
      </c>
      <c r="G767" s="3" t="s">
        <v>73</v>
      </c>
      <c r="H767" t="s">
        <v>30</v>
      </c>
      <c r="I767">
        <v>19</v>
      </c>
      <c r="J767">
        <v>42</v>
      </c>
      <c r="T767" s="13">
        <f t="shared" si="14"/>
        <v>61</v>
      </c>
      <c r="U767" t="s">
        <v>26</v>
      </c>
    </row>
    <row r="768" spans="1:22" x14ac:dyDescent="0.3">
      <c r="A768">
        <v>13</v>
      </c>
      <c r="B768">
        <v>4</v>
      </c>
      <c r="C768">
        <v>207879</v>
      </c>
      <c r="D768" t="s">
        <v>58</v>
      </c>
      <c r="E768" s="10">
        <v>44095</v>
      </c>
      <c r="F768" t="s">
        <v>23</v>
      </c>
      <c r="G768" s="3" t="s">
        <v>73</v>
      </c>
      <c r="H768" t="s">
        <v>60</v>
      </c>
      <c r="S768">
        <v>2</v>
      </c>
      <c r="T768" s="13">
        <f t="shared" si="14"/>
        <v>2</v>
      </c>
      <c r="U768" t="s">
        <v>26</v>
      </c>
    </row>
    <row r="769" spans="1:22" x14ac:dyDescent="0.3">
      <c r="A769">
        <v>13</v>
      </c>
      <c r="B769">
        <v>4</v>
      </c>
      <c r="C769">
        <v>207879</v>
      </c>
      <c r="D769" t="s">
        <v>58</v>
      </c>
      <c r="E769" s="10">
        <v>44095</v>
      </c>
      <c r="F769" t="s">
        <v>23</v>
      </c>
      <c r="G769" s="3" t="s">
        <v>73</v>
      </c>
      <c r="H769" t="s">
        <v>63</v>
      </c>
      <c r="M769">
        <v>1</v>
      </c>
      <c r="T769" s="13">
        <f t="shared" si="14"/>
        <v>1</v>
      </c>
      <c r="U769" t="s">
        <v>26</v>
      </c>
    </row>
    <row r="770" spans="1:22" x14ac:dyDescent="0.3">
      <c r="A770">
        <v>13</v>
      </c>
      <c r="B770">
        <v>4</v>
      </c>
      <c r="C770">
        <v>207879</v>
      </c>
      <c r="D770" t="s">
        <v>58</v>
      </c>
      <c r="E770" s="10">
        <v>44095</v>
      </c>
      <c r="F770" t="s">
        <v>23</v>
      </c>
      <c r="G770" s="3" t="s">
        <v>73</v>
      </c>
      <c r="H770" t="s">
        <v>37</v>
      </c>
      <c r="O770">
        <v>4</v>
      </c>
      <c r="P770">
        <v>13</v>
      </c>
      <c r="R770">
        <v>3</v>
      </c>
      <c r="T770" s="13">
        <f t="shared" si="14"/>
        <v>20</v>
      </c>
      <c r="U770" t="s">
        <v>26</v>
      </c>
    </row>
    <row r="771" spans="1:22" x14ac:dyDescent="0.3">
      <c r="A771">
        <v>13</v>
      </c>
      <c r="B771">
        <v>4</v>
      </c>
      <c r="C771">
        <v>207879</v>
      </c>
      <c r="D771" t="s">
        <v>58</v>
      </c>
      <c r="E771" s="10">
        <v>44095</v>
      </c>
      <c r="F771" t="s">
        <v>23</v>
      </c>
      <c r="G771" s="3" t="s">
        <v>73</v>
      </c>
      <c r="H771" t="s">
        <v>38</v>
      </c>
      <c r="Q771">
        <v>16</v>
      </c>
      <c r="R771">
        <v>25</v>
      </c>
      <c r="T771" s="13">
        <f t="shared" si="14"/>
        <v>41</v>
      </c>
      <c r="U771" t="s">
        <v>26</v>
      </c>
    </row>
    <row r="772" spans="1:22" x14ac:dyDescent="0.3">
      <c r="A772">
        <v>13</v>
      </c>
      <c r="B772">
        <v>4</v>
      </c>
      <c r="C772">
        <v>207879</v>
      </c>
      <c r="D772" t="s">
        <v>58</v>
      </c>
      <c r="E772" s="10">
        <v>44095</v>
      </c>
      <c r="F772" t="s">
        <v>23</v>
      </c>
      <c r="G772" s="3" t="s">
        <v>73</v>
      </c>
      <c r="H772" t="s">
        <v>31</v>
      </c>
      <c r="O772">
        <v>1</v>
      </c>
      <c r="P772">
        <v>4</v>
      </c>
      <c r="Q772">
        <v>1</v>
      </c>
      <c r="T772" s="13">
        <f t="shared" si="14"/>
        <v>6</v>
      </c>
      <c r="U772" t="s">
        <v>26</v>
      </c>
    </row>
    <row r="773" spans="1:22" x14ac:dyDescent="0.3">
      <c r="A773">
        <v>13</v>
      </c>
      <c r="B773">
        <v>4</v>
      </c>
      <c r="C773">
        <v>207879</v>
      </c>
      <c r="D773" t="s">
        <v>58</v>
      </c>
      <c r="E773" s="10">
        <v>44095</v>
      </c>
      <c r="F773" t="s">
        <v>23</v>
      </c>
      <c r="G773" s="3" t="s">
        <v>73</v>
      </c>
      <c r="H773" t="s">
        <v>32</v>
      </c>
      <c r="O773">
        <v>15</v>
      </c>
      <c r="P773">
        <v>5</v>
      </c>
      <c r="T773" s="13">
        <f t="shared" si="14"/>
        <v>20</v>
      </c>
      <c r="U773" t="s">
        <v>26</v>
      </c>
    </row>
    <row r="774" spans="1:22" x14ac:dyDescent="0.3">
      <c r="A774">
        <v>13</v>
      </c>
      <c r="B774">
        <v>4</v>
      </c>
      <c r="C774">
        <v>207879</v>
      </c>
      <c r="D774" t="s">
        <v>58</v>
      </c>
      <c r="E774" s="10">
        <v>44095</v>
      </c>
      <c r="F774" t="s">
        <v>23</v>
      </c>
      <c r="G774" s="3" t="s">
        <v>73</v>
      </c>
      <c r="H774" t="s">
        <v>66</v>
      </c>
      <c r="O774">
        <v>1</v>
      </c>
      <c r="T774" s="13">
        <f t="shared" si="14"/>
        <v>1</v>
      </c>
      <c r="U774" t="s">
        <v>26</v>
      </c>
    </row>
    <row r="775" spans="1:22" x14ac:dyDescent="0.3">
      <c r="A775">
        <v>13</v>
      </c>
      <c r="B775">
        <v>4</v>
      </c>
      <c r="C775">
        <v>207879</v>
      </c>
      <c r="D775" t="s">
        <v>58</v>
      </c>
      <c r="E775" s="10">
        <v>44095</v>
      </c>
      <c r="F775" t="s">
        <v>23</v>
      </c>
      <c r="G775" s="3" t="s">
        <v>73</v>
      </c>
      <c r="H775" t="s">
        <v>41</v>
      </c>
      <c r="S775">
        <v>5</v>
      </c>
      <c r="T775" s="13">
        <f t="shared" si="14"/>
        <v>5</v>
      </c>
      <c r="U775" t="s">
        <v>26</v>
      </c>
    </row>
    <row r="776" spans="1:22" x14ac:dyDescent="0.3">
      <c r="A776">
        <v>13</v>
      </c>
      <c r="B776">
        <v>4</v>
      </c>
      <c r="C776">
        <v>207879</v>
      </c>
      <c r="D776" t="s">
        <v>58</v>
      </c>
      <c r="E776" s="10">
        <v>44095</v>
      </c>
      <c r="F776" t="s">
        <v>23</v>
      </c>
      <c r="G776" s="3" t="s">
        <v>73</v>
      </c>
      <c r="H776" t="s">
        <v>43</v>
      </c>
      <c r="K776">
        <v>2</v>
      </c>
      <c r="Q776">
        <v>3</v>
      </c>
      <c r="T776" s="13">
        <f t="shared" si="14"/>
        <v>5</v>
      </c>
      <c r="U776" t="s">
        <v>26</v>
      </c>
    </row>
    <row r="777" spans="1:22" x14ac:dyDescent="0.3">
      <c r="A777">
        <v>13</v>
      </c>
      <c r="B777">
        <v>4</v>
      </c>
      <c r="C777">
        <v>207879</v>
      </c>
      <c r="D777" t="s">
        <v>58</v>
      </c>
      <c r="E777" s="10">
        <v>44095</v>
      </c>
      <c r="F777" t="s">
        <v>23</v>
      </c>
      <c r="G777" s="3" t="s">
        <v>73</v>
      </c>
      <c r="H777" t="s">
        <v>74</v>
      </c>
      <c r="Q777">
        <v>1</v>
      </c>
      <c r="T777" s="13">
        <f t="shared" si="14"/>
        <v>1</v>
      </c>
      <c r="U777" t="s">
        <v>26</v>
      </c>
    </row>
    <row r="778" spans="1:22" x14ac:dyDescent="0.3">
      <c r="A778">
        <v>13</v>
      </c>
      <c r="B778">
        <v>4</v>
      </c>
      <c r="C778">
        <v>207879</v>
      </c>
      <c r="D778" t="s">
        <v>58</v>
      </c>
      <c r="E778" s="10">
        <v>44095</v>
      </c>
      <c r="F778" t="s">
        <v>23</v>
      </c>
      <c r="G778" s="3" t="s">
        <v>73</v>
      </c>
      <c r="H778" t="s">
        <v>46</v>
      </c>
      <c r="Q778">
        <v>7</v>
      </c>
      <c r="T778" s="13">
        <f t="shared" si="14"/>
        <v>7</v>
      </c>
      <c r="U778" t="s">
        <v>26</v>
      </c>
    </row>
    <row r="779" spans="1:22" s="5" customFormat="1" ht="16.2" thickBot="1" x14ac:dyDescent="0.35">
      <c r="A779" s="5">
        <v>13</v>
      </c>
      <c r="B779" s="5">
        <v>4</v>
      </c>
      <c r="C779" s="5">
        <v>207879</v>
      </c>
      <c r="D779" s="5" t="s">
        <v>58</v>
      </c>
      <c r="E779" s="11">
        <v>44095</v>
      </c>
      <c r="F779" s="5" t="s">
        <v>23</v>
      </c>
      <c r="G779" s="6" t="s">
        <v>73</v>
      </c>
      <c r="H779" s="5" t="s">
        <v>45</v>
      </c>
      <c r="K779" s="5">
        <v>3</v>
      </c>
      <c r="T779" s="12">
        <f t="shared" si="14"/>
        <v>3</v>
      </c>
      <c r="U779" s="5" t="s">
        <v>26</v>
      </c>
      <c r="V779" s="14"/>
    </row>
    <row r="780" spans="1:22" x14ac:dyDescent="0.3">
      <c r="A780">
        <v>13</v>
      </c>
      <c r="B780">
        <v>5</v>
      </c>
      <c r="C780">
        <v>207880</v>
      </c>
      <c r="D780" t="s">
        <v>58</v>
      </c>
      <c r="E780" s="10">
        <v>44095</v>
      </c>
      <c r="F780" t="s">
        <v>23</v>
      </c>
      <c r="G780" s="3" t="s">
        <v>75</v>
      </c>
      <c r="H780" t="s">
        <v>25</v>
      </c>
      <c r="N780">
        <v>12</v>
      </c>
      <c r="O780">
        <v>56</v>
      </c>
      <c r="P780">
        <v>16</v>
      </c>
      <c r="T780" s="13">
        <f t="shared" si="14"/>
        <v>84</v>
      </c>
      <c r="U780" t="s">
        <v>26</v>
      </c>
    </row>
    <row r="781" spans="1:22" x14ac:dyDescent="0.3">
      <c r="A781">
        <v>13</v>
      </c>
      <c r="B781">
        <v>5</v>
      </c>
      <c r="C781">
        <v>207880</v>
      </c>
      <c r="D781" t="s">
        <v>58</v>
      </c>
      <c r="E781" s="10">
        <v>44095</v>
      </c>
      <c r="F781" t="s">
        <v>23</v>
      </c>
      <c r="G781" s="3" t="s">
        <v>76</v>
      </c>
      <c r="H781" t="s">
        <v>30</v>
      </c>
      <c r="I781">
        <v>7</v>
      </c>
      <c r="J781">
        <v>74</v>
      </c>
      <c r="T781" s="13">
        <f t="shared" si="14"/>
        <v>81</v>
      </c>
      <c r="U781" t="s">
        <v>26</v>
      </c>
    </row>
    <row r="782" spans="1:22" x14ac:dyDescent="0.3">
      <c r="A782">
        <v>13</v>
      </c>
      <c r="B782">
        <v>5</v>
      </c>
      <c r="C782">
        <v>207880</v>
      </c>
      <c r="D782" t="s">
        <v>58</v>
      </c>
      <c r="E782" s="10">
        <v>44095</v>
      </c>
      <c r="F782" t="s">
        <v>23</v>
      </c>
      <c r="G782" s="3" t="s">
        <v>76</v>
      </c>
      <c r="H782" t="s">
        <v>63</v>
      </c>
      <c r="M782">
        <v>1</v>
      </c>
      <c r="T782" s="13">
        <f t="shared" si="14"/>
        <v>1</v>
      </c>
      <c r="U782" t="s">
        <v>26</v>
      </c>
    </row>
    <row r="783" spans="1:22" x14ac:dyDescent="0.3">
      <c r="A783">
        <v>13</v>
      </c>
      <c r="B783">
        <v>5</v>
      </c>
      <c r="C783">
        <v>207880</v>
      </c>
      <c r="D783" t="s">
        <v>58</v>
      </c>
      <c r="E783" s="10">
        <v>44095</v>
      </c>
      <c r="F783" t="s">
        <v>23</v>
      </c>
      <c r="G783" s="3" t="s">
        <v>76</v>
      </c>
      <c r="H783" t="s">
        <v>32</v>
      </c>
      <c r="O783">
        <v>17</v>
      </c>
      <c r="T783" s="13">
        <f t="shared" si="14"/>
        <v>17</v>
      </c>
      <c r="U783" t="s">
        <v>26</v>
      </c>
    </row>
    <row r="784" spans="1:22" x14ac:dyDescent="0.3">
      <c r="A784">
        <v>13</v>
      </c>
      <c r="B784">
        <v>5</v>
      </c>
      <c r="C784">
        <v>207880</v>
      </c>
      <c r="D784" t="s">
        <v>58</v>
      </c>
      <c r="E784" s="10">
        <v>44095</v>
      </c>
      <c r="F784" t="s">
        <v>23</v>
      </c>
      <c r="G784" s="3" t="s">
        <v>76</v>
      </c>
      <c r="H784" t="s">
        <v>66</v>
      </c>
      <c r="O784">
        <v>1</v>
      </c>
      <c r="T784" s="13">
        <f t="shared" si="14"/>
        <v>1</v>
      </c>
      <c r="U784" t="s">
        <v>26</v>
      </c>
    </row>
    <row r="785" spans="1:22" x14ac:dyDescent="0.3">
      <c r="A785">
        <v>13</v>
      </c>
      <c r="B785">
        <v>5</v>
      </c>
      <c r="C785">
        <v>207880</v>
      </c>
      <c r="D785" t="s">
        <v>58</v>
      </c>
      <c r="E785" s="10">
        <v>44095</v>
      </c>
      <c r="F785" t="s">
        <v>23</v>
      </c>
      <c r="G785" s="3" t="s">
        <v>76</v>
      </c>
      <c r="H785" t="s">
        <v>37</v>
      </c>
      <c r="O785">
        <v>22</v>
      </c>
      <c r="P785">
        <v>40</v>
      </c>
      <c r="Q785">
        <v>4</v>
      </c>
      <c r="R785">
        <v>8</v>
      </c>
      <c r="T785" s="13">
        <f t="shared" si="14"/>
        <v>74</v>
      </c>
      <c r="U785" t="s">
        <v>26</v>
      </c>
    </row>
    <row r="786" spans="1:22" x14ac:dyDescent="0.3">
      <c r="A786">
        <v>13</v>
      </c>
      <c r="B786">
        <v>5</v>
      </c>
      <c r="C786">
        <v>207880</v>
      </c>
      <c r="D786" t="s">
        <v>58</v>
      </c>
      <c r="E786" s="10">
        <v>44095</v>
      </c>
      <c r="F786" t="s">
        <v>23</v>
      </c>
      <c r="G786" s="3" t="s">
        <v>76</v>
      </c>
      <c r="H786" t="s">
        <v>31</v>
      </c>
      <c r="P786">
        <v>2</v>
      </c>
      <c r="Q786">
        <v>1</v>
      </c>
      <c r="T786" s="13">
        <f t="shared" si="14"/>
        <v>3</v>
      </c>
      <c r="U786" t="s">
        <v>26</v>
      </c>
    </row>
    <row r="787" spans="1:22" x14ac:dyDescent="0.3">
      <c r="A787">
        <v>13</v>
      </c>
      <c r="B787">
        <v>5</v>
      </c>
      <c r="C787">
        <v>207880</v>
      </c>
      <c r="D787" t="s">
        <v>58</v>
      </c>
      <c r="E787" s="10">
        <v>44095</v>
      </c>
      <c r="F787" t="s">
        <v>23</v>
      </c>
      <c r="G787" s="3" t="s">
        <v>76</v>
      </c>
      <c r="H787" t="s">
        <v>38</v>
      </c>
      <c r="P787">
        <v>20</v>
      </c>
      <c r="Q787">
        <v>10</v>
      </c>
      <c r="R787">
        <v>9</v>
      </c>
      <c r="T787" s="13">
        <f t="shared" si="14"/>
        <v>39</v>
      </c>
      <c r="U787" t="s">
        <v>26</v>
      </c>
    </row>
    <row r="788" spans="1:22" x14ac:dyDescent="0.3">
      <c r="A788">
        <v>13</v>
      </c>
      <c r="B788">
        <v>5</v>
      </c>
      <c r="C788">
        <v>207880</v>
      </c>
      <c r="D788" t="s">
        <v>58</v>
      </c>
      <c r="E788" s="10">
        <v>44095</v>
      </c>
      <c r="F788" t="s">
        <v>23</v>
      </c>
      <c r="G788" s="3" t="s">
        <v>76</v>
      </c>
      <c r="H788" t="s">
        <v>49</v>
      </c>
      <c r="S788">
        <v>1</v>
      </c>
      <c r="T788" s="13">
        <f t="shared" si="14"/>
        <v>1</v>
      </c>
      <c r="U788" t="s">
        <v>26</v>
      </c>
    </row>
    <row r="789" spans="1:22" x14ac:dyDescent="0.3">
      <c r="A789">
        <v>13</v>
      </c>
      <c r="B789">
        <v>5</v>
      </c>
      <c r="C789">
        <v>207880</v>
      </c>
      <c r="D789" t="s">
        <v>58</v>
      </c>
      <c r="E789" s="10">
        <v>44095</v>
      </c>
      <c r="F789" t="s">
        <v>23</v>
      </c>
      <c r="G789" s="3" t="s">
        <v>76</v>
      </c>
      <c r="H789" t="s">
        <v>41</v>
      </c>
      <c r="S789">
        <v>6</v>
      </c>
      <c r="T789" s="13">
        <f t="shared" si="14"/>
        <v>6</v>
      </c>
      <c r="U789" t="s">
        <v>26</v>
      </c>
    </row>
    <row r="790" spans="1:22" x14ac:dyDescent="0.3">
      <c r="A790">
        <v>13</v>
      </c>
      <c r="B790">
        <v>5</v>
      </c>
      <c r="C790">
        <v>207880</v>
      </c>
      <c r="D790" t="s">
        <v>58</v>
      </c>
      <c r="E790" s="10">
        <v>44095</v>
      </c>
      <c r="F790" t="s">
        <v>23</v>
      </c>
      <c r="G790" s="3" t="s">
        <v>76</v>
      </c>
      <c r="H790" t="s">
        <v>45</v>
      </c>
      <c r="K790">
        <v>9</v>
      </c>
      <c r="T790" s="13">
        <f t="shared" si="14"/>
        <v>9</v>
      </c>
      <c r="U790" t="s">
        <v>26</v>
      </c>
    </row>
    <row r="791" spans="1:22" s="5" customFormat="1" ht="16.2" thickBot="1" x14ac:dyDescent="0.35">
      <c r="A791" s="5">
        <v>13</v>
      </c>
      <c r="B791" s="5">
        <v>5</v>
      </c>
      <c r="C791" s="5">
        <v>207880</v>
      </c>
      <c r="D791" s="5" t="s">
        <v>58</v>
      </c>
      <c r="E791" s="11">
        <v>44095</v>
      </c>
      <c r="F791" s="5" t="s">
        <v>23</v>
      </c>
      <c r="G791" s="6" t="s">
        <v>76</v>
      </c>
      <c r="H791" s="5" t="s">
        <v>46</v>
      </c>
      <c r="Q791" s="5">
        <v>18</v>
      </c>
      <c r="T791" s="12">
        <f t="shared" si="14"/>
        <v>18</v>
      </c>
      <c r="U791" s="5" t="s">
        <v>26</v>
      </c>
      <c r="V791" s="14"/>
    </row>
    <row r="792" spans="1:22" x14ac:dyDescent="0.3">
      <c r="A792">
        <v>14</v>
      </c>
      <c r="B792">
        <v>1</v>
      </c>
      <c r="C792">
        <v>207881</v>
      </c>
      <c r="D792" t="s">
        <v>58</v>
      </c>
      <c r="E792" s="10">
        <v>44095</v>
      </c>
      <c r="F792" t="s">
        <v>23</v>
      </c>
      <c r="G792" s="3" t="s">
        <v>52</v>
      </c>
      <c r="H792" t="s">
        <v>60</v>
      </c>
      <c r="S792">
        <v>1</v>
      </c>
      <c r="T792" s="13">
        <f t="shared" si="14"/>
        <v>1</v>
      </c>
      <c r="U792" t="s">
        <v>26</v>
      </c>
    </row>
    <row r="793" spans="1:22" x14ac:dyDescent="0.3">
      <c r="A793">
        <v>14</v>
      </c>
      <c r="B793">
        <v>1</v>
      </c>
      <c r="C793">
        <v>207881</v>
      </c>
      <c r="D793" t="s">
        <v>58</v>
      </c>
      <c r="E793" s="10">
        <v>44095</v>
      </c>
      <c r="F793" t="s">
        <v>23</v>
      </c>
      <c r="G793" s="3" t="s">
        <v>77</v>
      </c>
      <c r="H793" t="s">
        <v>78</v>
      </c>
      <c r="R793">
        <v>1</v>
      </c>
      <c r="T793" s="13">
        <f t="shared" si="14"/>
        <v>1</v>
      </c>
      <c r="U793" t="s">
        <v>26</v>
      </c>
    </row>
    <row r="794" spans="1:22" x14ac:dyDescent="0.3">
      <c r="A794">
        <v>14</v>
      </c>
      <c r="B794">
        <v>1</v>
      </c>
      <c r="C794">
        <v>207881</v>
      </c>
      <c r="D794" t="s">
        <v>58</v>
      </c>
      <c r="E794" s="10">
        <v>44095</v>
      </c>
      <c r="F794" t="s">
        <v>23</v>
      </c>
      <c r="G794" s="3" t="s">
        <v>77</v>
      </c>
      <c r="H794" t="s">
        <v>25</v>
      </c>
      <c r="O794">
        <v>10</v>
      </c>
      <c r="P794">
        <v>172</v>
      </c>
      <c r="Q794">
        <v>2</v>
      </c>
      <c r="T794" s="13">
        <f t="shared" si="14"/>
        <v>184</v>
      </c>
      <c r="U794" t="s">
        <v>26</v>
      </c>
    </row>
    <row r="795" spans="1:22" x14ac:dyDescent="0.3">
      <c r="A795">
        <v>14</v>
      </c>
      <c r="B795">
        <v>1</v>
      </c>
      <c r="C795">
        <v>207881</v>
      </c>
      <c r="D795" t="s">
        <v>58</v>
      </c>
      <c r="E795" s="10">
        <v>44095</v>
      </c>
      <c r="F795" t="s">
        <v>23</v>
      </c>
      <c r="G795" s="3" t="s">
        <v>77</v>
      </c>
      <c r="H795" t="s">
        <v>27</v>
      </c>
      <c r="O795">
        <v>1</v>
      </c>
      <c r="P795">
        <v>2</v>
      </c>
      <c r="T795" s="13">
        <f t="shared" si="14"/>
        <v>3</v>
      </c>
      <c r="U795" t="s">
        <v>26</v>
      </c>
    </row>
    <row r="796" spans="1:22" x14ac:dyDescent="0.3">
      <c r="A796">
        <v>14</v>
      </c>
      <c r="B796">
        <v>1</v>
      </c>
      <c r="C796">
        <v>207881</v>
      </c>
      <c r="D796" t="s">
        <v>58</v>
      </c>
      <c r="E796" s="10">
        <v>44095</v>
      </c>
      <c r="F796" t="s">
        <v>23</v>
      </c>
      <c r="G796" s="3" t="s">
        <v>77</v>
      </c>
      <c r="H796" t="s">
        <v>60</v>
      </c>
      <c r="S796">
        <v>12</v>
      </c>
      <c r="T796" s="13">
        <f t="shared" si="14"/>
        <v>12</v>
      </c>
      <c r="U796" t="s">
        <v>26</v>
      </c>
    </row>
    <row r="797" spans="1:22" x14ac:dyDescent="0.3">
      <c r="A797">
        <v>14</v>
      </c>
      <c r="B797">
        <v>1</v>
      </c>
      <c r="C797">
        <v>207881</v>
      </c>
      <c r="D797" t="s">
        <v>58</v>
      </c>
      <c r="E797" s="10">
        <v>44095</v>
      </c>
      <c r="F797" t="s">
        <v>23</v>
      </c>
      <c r="G797" s="3" t="s">
        <v>77</v>
      </c>
      <c r="H797" t="s">
        <v>69</v>
      </c>
      <c r="I797">
        <v>2</v>
      </c>
      <c r="T797" s="13">
        <f t="shared" si="14"/>
        <v>2</v>
      </c>
      <c r="U797" t="s">
        <v>26</v>
      </c>
    </row>
    <row r="798" spans="1:22" x14ac:dyDescent="0.3">
      <c r="A798">
        <v>14</v>
      </c>
      <c r="B798">
        <v>1</v>
      </c>
      <c r="C798">
        <v>207881</v>
      </c>
      <c r="D798" t="s">
        <v>58</v>
      </c>
      <c r="E798" s="10">
        <v>44095</v>
      </c>
      <c r="F798" t="s">
        <v>23</v>
      </c>
      <c r="G798" s="3" t="s">
        <v>77</v>
      </c>
      <c r="H798" t="s">
        <v>30</v>
      </c>
      <c r="I798">
        <v>2</v>
      </c>
      <c r="J798">
        <v>1</v>
      </c>
      <c r="T798" s="13">
        <f t="shared" si="14"/>
        <v>3</v>
      </c>
      <c r="U798" t="s">
        <v>26</v>
      </c>
    </row>
    <row r="799" spans="1:22" x14ac:dyDescent="0.3">
      <c r="A799">
        <v>14</v>
      </c>
      <c r="B799">
        <v>1</v>
      </c>
      <c r="C799">
        <v>207881</v>
      </c>
      <c r="D799" t="s">
        <v>58</v>
      </c>
      <c r="E799" s="10">
        <v>44095</v>
      </c>
      <c r="F799" t="s">
        <v>23</v>
      </c>
      <c r="G799" s="3" t="s">
        <v>77</v>
      </c>
      <c r="H799" t="s">
        <v>34</v>
      </c>
      <c r="Q799">
        <v>13</v>
      </c>
      <c r="R799">
        <v>5</v>
      </c>
      <c r="T799" s="13">
        <f t="shared" si="14"/>
        <v>18</v>
      </c>
      <c r="U799" t="s">
        <v>26</v>
      </c>
    </row>
    <row r="800" spans="1:22" x14ac:dyDescent="0.3">
      <c r="A800">
        <v>14</v>
      </c>
      <c r="B800">
        <v>1</v>
      </c>
      <c r="C800">
        <v>207881</v>
      </c>
      <c r="D800" t="s">
        <v>58</v>
      </c>
      <c r="E800" s="10">
        <v>44095</v>
      </c>
      <c r="F800" t="s">
        <v>23</v>
      </c>
      <c r="G800" s="3" t="s">
        <v>77</v>
      </c>
      <c r="H800" t="s">
        <v>38</v>
      </c>
      <c r="P800">
        <v>1</v>
      </c>
      <c r="R800">
        <v>1</v>
      </c>
      <c r="T800" s="13">
        <f t="shared" si="14"/>
        <v>2</v>
      </c>
      <c r="U800" t="s">
        <v>26</v>
      </c>
    </row>
    <row r="801" spans="1:22" x14ac:dyDescent="0.3">
      <c r="A801">
        <v>14</v>
      </c>
      <c r="B801">
        <v>1</v>
      </c>
      <c r="C801">
        <v>207881</v>
      </c>
      <c r="D801" t="s">
        <v>58</v>
      </c>
      <c r="E801" s="10">
        <v>44095</v>
      </c>
      <c r="F801" t="s">
        <v>23</v>
      </c>
      <c r="G801" s="3" t="s">
        <v>77</v>
      </c>
      <c r="H801" t="s">
        <v>79</v>
      </c>
      <c r="S801">
        <v>1</v>
      </c>
      <c r="T801" s="13">
        <f t="shared" si="14"/>
        <v>1</v>
      </c>
      <c r="U801" t="s">
        <v>26</v>
      </c>
    </row>
    <row r="802" spans="1:22" x14ac:dyDescent="0.3">
      <c r="A802">
        <v>14</v>
      </c>
      <c r="B802">
        <v>1</v>
      </c>
      <c r="C802">
        <v>207881</v>
      </c>
      <c r="D802" t="s">
        <v>58</v>
      </c>
      <c r="E802" s="10">
        <v>44095</v>
      </c>
      <c r="F802" t="s">
        <v>23</v>
      </c>
      <c r="G802" s="3" t="s">
        <v>77</v>
      </c>
      <c r="H802" t="s">
        <v>31</v>
      </c>
      <c r="P802">
        <v>1</v>
      </c>
      <c r="T802" s="13">
        <f t="shared" si="14"/>
        <v>1</v>
      </c>
      <c r="U802" t="s">
        <v>26</v>
      </c>
    </row>
    <row r="803" spans="1:22" x14ac:dyDescent="0.3">
      <c r="A803">
        <v>14</v>
      </c>
      <c r="B803">
        <v>1</v>
      </c>
      <c r="C803">
        <v>207881</v>
      </c>
      <c r="D803" t="s">
        <v>58</v>
      </c>
      <c r="E803" s="10">
        <v>44095</v>
      </c>
      <c r="F803" t="s">
        <v>23</v>
      </c>
      <c r="G803" s="3" t="s">
        <v>77</v>
      </c>
      <c r="H803" t="s">
        <v>67</v>
      </c>
      <c r="P803">
        <v>1</v>
      </c>
      <c r="T803" s="13">
        <f t="shared" si="14"/>
        <v>1</v>
      </c>
      <c r="U803" t="s">
        <v>26</v>
      </c>
    </row>
    <row r="804" spans="1:22" x14ac:dyDescent="0.3">
      <c r="A804">
        <v>14</v>
      </c>
      <c r="B804">
        <v>1</v>
      </c>
      <c r="C804">
        <v>207881</v>
      </c>
      <c r="D804" t="s">
        <v>58</v>
      </c>
      <c r="E804" s="10">
        <v>44095</v>
      </c>
      <c r="F804" t="s">
        <v>23</v>
      </c>
      <c r="G804" s="3" t="s">
        <v>77</v>
      </c>
      <c r="H804" t="s">
        <v>43</v>
      </c>
      <c r="Q804">
        <v>1</v>
      </c>
      <c r="T804" s="13">
        <f t="shared" si="14"/>
        <v>1</v>
      </c>
      <c r="U804" t="s">
        <v>26</v>
      </c>
    </row>
    <row r="805" spans="1:22" x14ac:dyDescent="0.3">
      <c r="A805">
        <v>14</v>
      </c>
      <c r="B805">
        <v>1</v>
      </c>
      <c r="C805">
        <v>207881</v>
      </c>
      <c r="D805" t="s">
        <v>58</v>
      </c>
      <c r="E805" s="10">
        <v>44095</v>
      </c>
      <c r="F805" t="s">
        <v>23</v>
      </c>
      <c r="G805" s="3" t="s">
        <v>77</v>
      </c>
      <c r="H805" t="s">
        <v>45</v>
      </c>
      <c r="K805">
        <v>2</v>
      </c>
      <c r="T805" s="13">
        <f t="shared" si="14"/>
        <v>2</v>
      </c>
      <c r="U805" t="s">
        <v>26</v>
      </c>
    </row>
    <row r="806" spans="1:22" x14ac:dyDescent="0.3">
      <c r="A806">
        <v>14</v>
      </c>
      <c r="B806">
        <v>1</v>
      </c>
      <c r="C806">
        <v>207881</v>
      </c>
      <c r="D806" t="s">
        <v>58</v>
      </c>
      <c r="E806" s="10">
        <v>44095</v>
      </c>
      <c r="F806" t="s">
        <v>23</v>
      </c>
      <c r="G806" s="3" t="s">
        <v>52</v>
      </c>
      <c r="H806" t="s">
        <v>64</v>
      </c>
      <c r="S806">
        <v>8</v>
      </c>
      <c r="T806" s="13">
        <f t="shared" si="14"/>
        <v>8</v>
      </c>
      <c r="U806" t="s">
        <v>53</v>
      </c>
    </row>
    <row r="807" spans="1:22" s="5" customFormat="1" ht="16.2" thickBot="1" x14ac:dyDescent="0.35">
      <c r="A807" s="5">
        <v>14</v>
      </c>
      <c r="B807" s="5">
        <v>1</v>
      </c>
      <c r="C807" s="5">
        <v>207881</v>
      </c>
      <c r="D807" s="5" t="s">
        <v>58</v>
      </c>
      <c r="E807" s="11">
        <v>44095</v>
      </c>
      <c r="F807" s="5" t="s">
        <v>23</v>
      </c>
      <c r="G807" s="6" t="s">
        <v>52</v>
      </c>
      <c r="H807" s="5" t="s">
        <v>180</v>
      </c>
      <c r="S807" s="5">
        <v>1</v>
      </c>
      <c r="T807" s="12">
        <f t="shared" si="14"/>
        <v>1</v>
      </c>
      <c r="U807" s="5" t="s">
        <v>53</v>
      </c>
      <c r="V807" s="14"/>
    </row>
    <row r="808" spans="1:22" x14ac:dyDescent="0.3">
      <c r="A808">
        <v>14</v>
      </c>
      <c r="B808">
        <v>2</v>
      </c>
      <c r="C808">
        <v>207882</v>
      </c>
      <c r="D808" t="s">
        <v>58</v>
      </c>
      <c r="E808" s="10">
        <v>44095</v>
      </c>
      <c r="F808" t="s">
        <v>23</v>
      </c>
      <c r="G808" s="3" t="s">
        <v>80</v>
      </c>
      <c r="H808" t="s">
        <v>25</v>
      </c>
      <c r="N808">
        <v>1</v>
      </c>
      <c r="O808">
        <v>18</v>
      </c>
      <c r="P808">
        <v>61</v>
      </c>
      <c r="Q808">
        <v>2</v>
      </c>
      <c r="T808" s="13">
        <f t="shared" si="14"/>
        <v>82</v>
      </c>
      <c r="U808" t="s">
        <v>26</v>
      </c>
    </row>
    <row r="809" spans="1:22" x14ac:dyDescent="0.3">
      <c r="A809">
        <v>14</v>
      </c>
      <c r="B809">
        <v>2</v>
      </c>
      <c r="C809">
        <v>207882</v>
      </c>
      <c r="D809" t="s">
        <v>58</v>
      </c>
      <c r="E809" s="10">
        <v>44095</v>
      </c>
      <c r="F809" t="s">
        <v>23</v>
      </c>
      <c r="G809" s="3" t="s">
        <v>73</v>
      </c>
      <c r="H809" t="s">
        <v>30</v>
      </c>
      <c r="I809">
        <v>23</v>
      </c>
      <c r="J809">
        <v>56</v>
      </c>
      <c r="T809" s="13">
        <f t="shared" si="14"/>
        <v>79</v>
      </c>
      <c r="U809" t="s">
        <v>26</v>
      </c>
    </row>
    <row r="810" spans="1:22" x14ac:dyDescent="0.3">
      <c r="A810">
        <v>14</v>
      </c>
      <c r="B810">
        <v>2</v>
      </c>
      <c r="C810">
        <v>207882</v>
      </c>
      <c r="D810" t="s">
        <v>58</v>
      </c>
      <c r="E810" s="10">
        <v>44095</v>
      </c>
      <c r="F810" t="s">
        <v>23</v>
      </c>
      <c r="G810" s="3" t="s">
        <v>73</v>
      </c>
      <c r="H810" t="s">
        <v>33</v>
      </c>
      <c r="R810">
        <v>1</v>
      </c>
      <c r="T810" s="13">
        <f t="shared" si="14"/>
        <v>1</v>
      </c>
      <c r="U810" t="s">
        <v>26</v>
      </c>
    </row>
    <row r="811" spans="1:22" x14ac:dyDescent="0.3">
      <c r="A811">
        <v>14</v>
      </c>
      <c r="B811">
        <v>2</v>
      </c>
      <c r="C811">
        <v>207882</v>
      </c>
      <c r="D811" t="s">
        <v>58</v>
      </c>
      <c r="E811" s="10">
        <v>44095</v>
      </c>
      <c r="F811" t="s">
        <v>23</v>
      </c>
      <c r="G811" s="3" t="s">
        <v>73</v>
      </c>
      <c r="H811" t="s">
        <v>81</v>
      </c>
      <c r="R811">
        <v>5</v>
      </c>
      <c r="T811" s="13">
        <f t="shared" si="14"/>
        <v>5</v>
      </c>
      <c r="U811" t="s">
        <v>26</v>
      </c>
    </row>
    <row r="812" spans="1:22" x14ac:dyDescent="0.3">
      <c r="A812">
        <v>14</v>
      </c>
      <c r="B812">
        <v>2</v>
      </c>
      <c r="C812">
        <v>207882</v>
      </c>
      <c r="D812" t="s">
        <v>58</v>
      </c>
      <c r="E812" s="10">
        <v>44095</v>
      </c>
      <c r="F812" t="s">
        <v>23</v>
      </c>
      <c r="G812" s="3" t="s">
        <v>73</v>
      </c>
      <c r="H812" t="s">
        <v>38</v>
      </c>
      <c r="Q812">
        <v>4</v>
      </c>
      <c r="R812">
        <v>3</v>
      </c>
      <c r="T812" s="13">
        <f t="shared" si="14"/>
        <v>7</v>
      </c>
      <c r="U812" t="s">
        <v>26</v>
      </c>
    </row>
    <row r="813" spans="1:22" x14ac:dyDescent="0.3">
      <c r="A813">
        <v>14</v>
      </c>
      <c r="B813">
        <v>2</v>
      </c>
      <c r="C813">
        <v>207882</v>
      </c>
      <c r="D813" t="s">
        <v>58</v>
      </c>
      <c r="E813" s="10">
        <v>44095</v>
      </c>
      <c r="F813" t="s">
        <v>23</v>
      </c>
      <c r="G813" s="3" t="s">
        <v>73</v>
      </c>
      <c r="H813" t="s">
        <v>34</v>
      </c>
      <c r="Q813">
        <v>1</v>
      </c>
      <c r="R813">
        <v>1</v>
      </c>
      <c r="T813" s="13">
        <f t="shared" si="14"/>
        <v>2</v>
      </c>
      <c r="U813" t="s">
        <v>26</v>
      </c>
    </row>
    <row r="814" spans="1:22" x14ac:dyDescent="0.3">
      <c r="A814">
        <v>14</v>
      </c>
      <c r="B814">
        <v>2</v>
      </c>
      <c r="C814">
        <v>207882</v>
      </c>
      <c r="D814" t="s">
        <v>58</v>
      </c>
      <c r="E814" s="10">
        <v>44095</v>
      </c>
      <c r="F814" t="s">
        <v>23</v>
      </c>
      <c r="G814" s="3" t="s">
        <v>73</v>
      </c>
      <c r="H814" t="s">
        <v>37</v>
      </c>
      <c r="O814">
        <v>13</v>
      </c>
      <c r="P814">
        <v>9</v>
      </c>
      <c r="Q814">
        <v>8</v>
      </c>
      <c r="T814" s="13">
        <f t="shared" si="14"/>
        <v>30</v>
      </c>
      <c r="U814" t="s">
        <v>26</v>
      </c>
    </row>
    <row r="815" spans="1:22" x14ac:dyDescent="0.3">
      <c r="A815">
        <v>14</v>
      </c>
      <c r="B815">
        <v>2</v>
      </c>
      <c r="C815">
        <v>207882</v>
      </c>
      <c r="D815" t="s">
        <v>58</v>
      </c>
      <c r="E815" s="10">
        <v>44095</v>
      </c>
      <c r="F815" t="s">
        <v>23</v>
      </c>
      <c r="G815" s="3" t="s">
        <v>73</v>
      </c>
      <c r="H815" t="s">
        <v>31</v>
      </c>
      <c r="P815">
        <v>2</v>
      </c>
      <c r="Q815">
        <v>4</v>
      </c>
      <c r="T815" s="13">
        <f t="shared" si="14"/>
        <v>6</v>
      </c>
      <c r="U815" t="s">
        <v>26</v>
      </c>
    </row>
    <row r="816" spans="1:22" x14ac:dyDescent="0.3">
      <c r="A816">
        <v>14</v>
      </c>
      <c r="B816">
        <v>2</v>
      </c>
      <c r="C816">
        <v>207882</v>
      </c>
      <c r="D816" t="s">
        <v>58</v>
      </c>
      <c r="E816" s="10">
        <v>44095</v>
      </c>
      <c r="F816" t="s">
        <v>23</v>
      </c>
      <c r="G816" s="3" t="s">
        <v>73</v>
      </c>
      <c r="H816" t="s">
        <v>66</v>
      </c>
      <c r="O816">
        <v>1</v>
      </c>
      <c r="T816" s="13">
        <f t="shared" si="14"/>
        <v>1</v>
      </c>
      <c r="U816" t="s">
        <v>26</v>
      </c>
    </row>
    <row r="817" spans="1:22" x14ac:dyDescent="0.3">
      <c r="A817">
        <v>14</v>
      </c>
      <c r="B817">
        <v>2</v>
      </c>
      <c r="C817">
        <v>207882</v>
      </c>
      <c r="D817" t="s">
        <v>58</v>
      </c>
      <c r="E817" s="10">
        <v>44095</v>
      </c>
      <c r="F817" t="s">
        <v>23</v>
      </c>
      <c r="G817" s="3" t="s">
        <v>73</v>
      </c>
      <c r="H817" t="s">
        <v>32</v>
      </c>
      <c r="O817">
        <v>36</v>
      </c>
      <c r="P817">
        <v>22</v>
      </c>
      <c r="T817" s="13">
        <f t="shared" si="14"/>
        <v>58</v>
      </c>
      <c r="U817" t="s">
        <v>26</v>
      </c>
    </row>
    <row r="818" spans="1:22" x14ac:dyDescent="0.3">
      <c r="A818">
        <v>14</v>
      </c>
      <c r="B818">
        <v>2</v>
      </c>
      <c r="C818">
        <v>207882</v>
      </c>
      <c r="D818" t="s">
        <v>58</v>
      </c>
      <c r="E818" s="10">
        <v>44095</v>
      </c>
      <c r="F818" t="s">
        <v>23</v>
      </c>
      <c r="G818" s="3" t="s">
        <v>73</v>
      </c>
      <c r="H818" t="s">
        <v>41</v>
      </c>
      <c r="S818">
        <v>4</v>
      </c>
      <c r="T818" s="13">
        <f t="shared" si="14"/>
        <v>4</v>
      </c>
      <c r="U818" t="s">
        <v>26</v>
      </c>
    </row>
    <row r="819" spans="1:22" x14ac:dyDescent="0.3">
      <c r="A819">
        <v>14</v>
      </c>
      <c r="B819">
        <v>2</v>
      </c>
      <c r="C819">
        <v>207882</v>
      </c>
      <c r="D819" t="s">
        <v>58</v>
      </c>
      <c r="E819" s="10">
        <v>44095</v>
      </c>
      <c r="F819" t="s">
        <v>23</v>
      </c>
      <c r="G819" s="3" t="s">
        <v>73</v>
      </c>
      <c r="H819" t="s">
        <v>55</v>
      </c>
      <c r="S819">
        <v>1</v>
      </c>
      <c r="T819" s="13">
        <f t="shared" si="14"/>
        <v>1</v>
      </c>
      <c r="U819" t="s">
        <v>26</v>
      </c>
    </row>
    <row r="820" spans="1:22" x14ac:dyDescent="0.3">
      <c r="A820">
        <v>14</v>
      </c>
      <c r="B820">
        <v>2</v>
      </c>
      <c r="C820">
        <v>207882</v>
      </c>
      <c r="D820" t="s">
        <v>58</v>
      </c>
      <c r="E820" s="10">
        <v>44095</v>
      </c>
      <c r="F820" t="s">
        <v>23</v>
      </c>
      <c r="G820" s="3" t="s">
        <v>73</v>
      </c>
      <c r="H820" t="s">
        <v>43</v>
      </c>
      <c r="K820">
        <v>5</v>
      </c>
      <c r="Q820">
        <v>4</v>
      </c>
      <c r="T820" s="13">
        <f t="shared" si="14"/>
        <v>9</v>
      </c>
      <c r="U820" t="s">
        <v>26</v>
      </c>
    </row>
    <row r="821" spans="1:22" x14ac:dyDescent="0.3">
      <c r="A821">
        <v>14</v>
      </c>
      <c r="B821">
        <v>2</v>
      </c>
      <c r="C821">
        <v>207882</v>
      </c>
      <c r="D821" t="s">
        <v>58</v>
      </c>
      <c r="E821" s="10">
        <v>44095</v>
      </c>
      <c r="F821" t="s">
        <v>23</v>
      </c>
      <c r="G821" s="3" t="s">
        <v>73</v>
      </c>
      <c r="H821" t="s">
        <v>46</v>
      </c>
      <c r="Q821">
        <v>24</v>
      </c>
      <c r="R821">
        <v>1</v>
      </c>
      <c r="T821" s="13">
        <f t="shared" si="14"/>
        <v>25</v>
      </c>
      <c r="U821" t="s">
        <v>26</v>
      </c>
    </row>
    <row r="822" spans="1:22" x14ac:dyDescent="0.3">
      <c r="A822">
        <v>14</v>
      </c>
      <c r="B822">
        <v>2</v>
      </c>
      <c r="C822">
        <v>207882</v>
      </c>
      <c r="D822" t="s">
        <v>58</v>
      </c>
      <c r="E822" s="10">
        <v>44095</v>
      </c>
      <c r="F822" t="s">
        <v>23</v>
      </c>
      <c r="G822" s="3" t="s">
        <v>73</v>
      </c>
      <c r="H822" t="s">
        <v>45</v>
      </c>
      <c r="K822">
        <v>4</v>
      </c>
      <c r="T822" s="13">
        <f t="shared" si="14"/>
        <v>4</v>
      </c>
      <c r="U822" t="s">
        <v>26</v>
      </c>
    </row>
    <row r="823" spans="1:22" x14ac:dyDescent="0.3">
      <c r="A823">
        <v>14</v>
      </c>
      <c r="B823">
        <v>2</v>
      </c>
      <c r="C823">
        <v>207882</v>
      </c>
      <c r="D823" t="s">
        <v>58</v>
      </c>
      <c r="E823" s="10">
        <v>44095</v>
      </c>
      <c r="F823" t="s">
        <v>23</v>
      </c>
      <c r="G823" s="3" t="s">
        <v>52</v>
      </c>
      <c r="H823" t="s">
        <v>82</v>
      </c>
      <c r="S823">
        <v>1</v>
      </c>
      <c r="T823" s="13">
        <f t="shared" ref="T823:T885" si="15">SUM(I823:S823)</f>
        <v>1</v>
      </c>
      <c r="U823" t="s">
        <v>53</v>
      </c>
    </row>
    <row r="824" spans="1:22" x14ac:dyDescent="0.3">
      <c r="A824">
        <v>14</v>
      </c>
      <c r="B824">
        <v>2</v>
      </c>
      <c r="C824">
        <v>207882</v>
      </c>
      <c r="D824" t="s">
        <v>58</v>
      </c>
      <c r="E824" s="10">
        <v>44095</v>
      </c>
      <c r="F824" t="s">
        <v>23</v>
      </c>
      <c r="G824" s="3" t="s">
        <v>52</v>
      </c>
      <c r="H824" t="s">
        <v>64</v>
      </c>
      <c r="S824">
        <v>5</v>
      </c>
      <c r="T824" s="13">
        <f t="shared" si="15"/>
        <v>5</v>
      </c>
      <c r="U824" t="s">
        <v>53</v>
      </c>
    </row>
    <row r="825" spans="1:22" s="5" customFormat="1" ht="16.2" thickBot="1" x14ac:dyDescent="0.35">
      <c r="A825" s="5">
        <v>14</v>
      </c>
      <c r="B825" s="5">
        <v>2</v>
      </c>
      <c r="C825" s="5">
        <v>207882</v>
      </c>
      <c r="D825" s="5" t="s">
        <v>58</v>
      </c>
      <c r="E825" s="11">
        <v>44095</v>
      </c>
      <c r="F825" s="5" t="s">
        <v>23</v>
      </c>
      <c r="G825" s="6" t="s">
        <v>52</v>
      </c>
      <c r="H825" s="5" t="s">
        <v>25</v>
      </c>
      <c r="S825" s="5">
        <v>1</v>
      </c>
      <c r="T825" s="12">
        <f t="shared" si="15"/>
        <v>1</v>
      </c>
      <c r="U825" s="5" t="s">
        <v>53</v>
      </c>
      <c r="V825" s="14"/>
    </row>
    <row r="826" spans="1:22" x14ac:dyDescent="0.3">
      <c r="A826">
        <v>14</v>
      </c>
      <c r="B826">
        <v>3</v>
      </c>
      <c r="C826">
        <v>207701</v>
      </c>
      <c r="D826" t="s">
        <v>58</v>
      </c>
      <c r="E826" s="10">
        <v>44095</v>
      </c>
      <c r="F826" t="s">
        <v>23</v>
      </c>
      <c r="G826" s="3" t="s">
        <v>47</v>
      </c>
      <c r="H826" t="s">
        <v>25</v>
      </c>
      <c r="N826">
        <v>6</v>
      </c>
      <c r="O826">
        <v>28</v>
      </c>
      <c r="P826">
        <v>35</v>
      </c>
      <c r="Q826">
        <v>4</v>
      </c>
      <c r="T826" s="13">
        <f t="shared" si="15"/>
        <v>73</v>
      </c>
      <c r="U826" t="s">
        <v>26</v>
      </c>
    </row>
    <row r="827" spans="1:22" x14ac:dyDescent="0.3">
      <c r="A827">
        <v>14</v>
      </c>
      <c r="B827">
        <v>3</v>
      </c>
      <c r="C827">
        <v>207701</v>
      </c>
      <c r="D827" t="s">
        <v>58</v>
      </c>
      <c r="E827" s="10">
        <v>44095</v>
      </c>
      <c r="F827" t="s">
        <v>23</v>
      </c>
      <c r="G827" s="3" t="s">
        <v>47</v>
      </c>
      <c r="H827" t="s">
        <v>69</v>
      </c>
      <c r="I827">
        <v>2</v>
      </c>
      <c r="T827" s="13">
        <f t="shared" si="15"/>
        <v>2</v>
      </c>
      <c r="U827" t="s">
        <v>26</v>
      </c>
    </row>
    <row r="828" spans="1:22" x14ac:dyDescent="0.3">
      <c r="A828">
        <v>14</v>
      </c>
      <c r="B828">
        <v>3</v>
      </c>
      <c r="C828">
        <v>207701</v>
      </c>
      <c r="D828" t="s">
        <v>58</v>
      </c>
      <c r="E828" s="10">
        <v>44095</v>
      </c>
      <c r="F828" t="s">
        <v>23</v>
      </c>
      <c r="G828" s="3" t="s">
        <v>73</v>
      </c>
      <c r="H828" t="s">
        <v>30</v>
      </c>
      <c r="I828">
        <v>31</v>
      </c>
      <c r="J828">
        <v>17</v>
      </c>
      <c r="T828" s="13">
        <f t="shared" si="15"/>
        <v>48</v>
      </c>
      <c r="U828" t="s">
        <v>26</v>
      </c>
    </row>
    <row r="829" spans="1:22" x14ac:dyDescent="0.3">
      <c r="A829">
        <v>14</v>
      </c>
      <c r="B829">
        <v>3</v>
      </c>
      <c r="C829">
        <v>207701</v>
      </c>
      <c r="D829" t="s">
        <v>58</v>
      </c>
      <c r="E829" s="10">
        <v>44095</v>
      </c>
      <c r="F829" t="s">
        <v>23</v>
      </c>
      <c r="G829" s="3" t="s">
        <v>73</v>
      </c>
      <c r="H829" t="s">
        <v>60</v>
      </c>
      <c r="S829">
        <v>1</v>
      </c>
      <c r="T829" s="13">
        <f t="shared" si="15"/>
        <v>1</v>
      </c>
      <c r="U829" t="s">
        <v>26</v>
      </c>
    </row>
    <row r="830" spans="1:22" x14ac:dyDescent="0.3">
      <c r="A830">
        <v>14</v>
      </c>
      <c r="B830">
        <v>3</v>
      </c>
      <c r="C830">
        <v>207701</v>
      </c>
      <c r="D830" t="s">
        <v>58</v>
      </c>
      <c r="E830" s="10">
        <v>44095</v>
      </c>
      <c r="F830" t="s">
        <v>23</v>
      </c>
      <c r="G830" s="3" t="s">
        <v>73</v>
      </c>
      <c r="H830" t="s">
        <v>38</v>
      </c>
      <c r="Q830">
        <v>3</v>
      </c>
      <c r="R830">
        <v>4</v>
      </c>
      <c r="T830" s="13">
        <f t="shared" si="15"/>
        <v>7</v>
      </c>
      <c r="U830" t="s">
        <v>26</v>
      </c>
    </row>
    <row r="831" spans="1:22" x14ac:dyDescent="0.3">
      <c r="A831">
        <v>14</v>
      </c>
      <c r="B831">
        <v>3</v>
      </c>
      <c r="C831">
        <v>207701</v>
      </c>
      <c r="D831" t="s">
        <v>58</v>
      </c>
      <c r="E831" s="10">
        <v>44095</v>
      </c>
      <c r="F831" t="s">
        <v>23</v>
      </c>
      <c r="G831" s="3" t="s">
        <v>73</v>
      </c>
      <c r="H831" t="s">
        <v>31</v>
      </c>
      <c r="Q831">
        <v>1</v>
      </c>
      <c r="T831" s="13">
        <f t="shared" si="15"/>
        <v>1</v>
      </c>
      <c r="U831" t="s">
        <v>26</v>
      </c>
    </row>
    <row r="832" spans="1:22" x14ac:dyDescent="0.3">
      <c r="A832">
        <v>14</v>
      </c>
      <c r="B832">
        <v>3</v>
      </c>
      <c r="C832">
        <v>207701</v>
      </c>
      <c r="D832" t="s">
        <v>58</v>
      </c>
      <c r="E832" s="10">
        <v>44095</v>
      </c>
      <c r="F832" t="s">
        <v>23</v>
      </c>
      <c r="G832" s="3" t="s">
        <v>73</v>
      </c>
      <c r="H832" t="s">
        <v>37</v>
      </c>
      <c r="O832">
        <v>2</v>
      </c>
      <c r="P832">
        <v>4</v>
      </c>
      <c r="Q832">
        <v>8</v>
      </c>
      <c r="R832">
        <v>3</v>
      </c>
      <c r="T832" s="13">
        <f t="shared" si="15"/>
        <v>17</v>
      </c>
      <c r="U832" t="s">
        <v>26</v>
      </c>
    </row>
    <row r="833" spans="1:22" x14ac:dyDescent="0.3">
      <c r="A833">
        <v>14</v>
      </c>
      <c r="B833">
        <v>3</v>
      </c>
      <c r="C833">
        <v>207701</v>
      </c>
      <c r="D833" t="s">
        <v>58</v>
      </c>
      <c r="E833" s="10">
        <v>44095</v>
      </c>
      <c r="F833" t="s">
        <v>23</v>
      </c>
      <c r="G833" s="3" t="s">
        <v>73</v>
      </c>
      <c r="H833" t="s">
        <v>32</v>
      </c>
      <c r="O833">
        <v>4</v>
      </c>
      <c r="P833">
        <v>6</v>
      </c>
      <c r="T833" s="13">
        <f t="shared" si="15"/>
        <v>10</v>
      </c>
      <c r="U833" t="s">
        <v>26</v>
      </c>
    </row>
    <row r="834" spans="1:22" x14ac:dyDescent="0.3">
      <c r="A834">
        <v>14</v>
      </c>
      <c r="B834">
        <v>3</v>
      </c>
      <c r="C834">
        <v>207701</v>
      </c>
      <c r="D834" t="s">
        <v>58</v>
      </c>
      <c r="E834" s="10">
        <v>44095</v>
      </c>
      <c r="F834" t="s">
        <v>23</v>
      </c>
      <c r="G834" s="3" t="s">
        <v>73</v>
      </c>
      <c r="H834" t="s">
        <v>66</v>
      </c>
      <c r="O834">
        <v>2</v>
      </c>
      <c r="P834">
        <v>1</v>
      </c>
      <c r="T834" s="13">
        <f t="shared" si="15"/>
        <v>3</v>
      </c>
      <c r="U834" t="s">
        <v>26</v>
      </c>
    </row>
    <row r="835" spans="1:22" x14ac:dyDescent="0.3">
      <c r="A835">
        <v>14</v>
      </c>
      <c r="B835">
        <v>3</v>
      </c>
      <c r="C835">
        <v>207701</v>
      </c>
      <c r="D835" t="s">
        <v>58</v>
      </c>
      <c r="E835" s="10">
        <v>44095</v>
      </c>
      <c r="F835" t="s">
        <v>23</v>
      </c>
      <c r="G835" s="3" t="s">
        <v>73</v>
      </c>
      <c r="H835" t="s">
        <v>33</v>
      </c>
      <c r="P835">
        <v>1</v>
      </c>
      <c r="T835" s="13">
        <f t="shared" si="15"/>
        <v>1</v>
      </c>
      <c r="U835" t="s">
        <v>26</v>
      </c>
    </row>
    <row r="836" spans="1:22" x14ac:dyDescent="0.3">
      <c r="A836">
        <v>14</v>
      </c>
      <c r="B836">
        <v>3</v>
      </c>
      <c r="C836">
        <v>207701</v>
      </c>
      <c r="D836" t="s">
        <v>58</v>
      </c>
      <c r="E836" s="10">
        <v>44095</v>
      </c>
      <c r="F836" t="s">
        <v>23</v>
      </c>
      <c r="G836" s="3" t="s">
        <v>73</v>
      </c>
      <c r="H836" t="s">
        <v>79</v>
      </c>
      <c r="S836">
        <v>2</v>
      </c>
      <c r="T836" s="13">
        <f t="shared" si="15"/>
        <v>2</v>
      </c>
      <c r="U836" t="s">
        <v>26</v>
      </c>
    </row>
    <row r="837" spans="1:22" x14ac:dyDescent="0.3">
      <c r="A837">
        <v>14</v>
      </c>
      <c r="B837">
        <v>3</v>
      </c>
      <c r="C837">
        <v>207701</v>
      </c>
      <c r="D837" t="s">
        <v>58</v>
      </c>
      <c r="E837" s="10">
        <v>44095</v>
      </c>
      <c r="F837" t="s">
        <v>23</v>
      </c>
      <c r="G837" s="3" t="s">
        <v>73</v>
      </c>
      <c r="H837" t="s">
        <v>55</v>
      </c>
      <c r="S837">
        <v>1</v>
      </c>
      <c r="T837" s="13">
        <f t="shared" si="15"/>
        <v>1</v>
      </c>
      <c r="U837" t="s">
        <v>26</v>
      </c>
    </row>
    <row r="838" spans="1:22" x14ac:dyDescent="0.3">
      <c r="A838">
        <v>14</v>
      </c>
      <c r="B838">
        <v>3</v>
      </c>
      <c r="C838">
        <v>207701</v>
      </c>
      <c r="D838" t="s">
        <v>58</v>
      </c>
      <c r="E838" s="10">
        <v>44095</v>
      </c>
      <c r="F838" t="s">
        <v>23</v>
      </c>
      <c r="G838" s="3" t="s">
        <v>73</v>
      </c>
      <c r="H838" t="s">
        <v>51</v>
      </c>
      <c r="S838">
        <v>1</v>
      </c>
      <c r="T838" s="13">
        <f t="shared" si="15"/>
        <v>1</v>
      </c>
      <c r="U838" t="s">
        <v>26</v>
      </c>
    </row>
    <row r="839" spans="1:22" x14ac:dyDescent="0.3">
      <c r="A839">
        <v>14</v>
      </c>
      <c r="B839">
        <v>3</v>
      </c>
      <c r="C839">
        <v>207701</v>
      </c>
      <c r="D839" t="s">
        <v>58</v>
      </c>
      <c r="E839" s="10">
        <v>44095</v>
      </c>
      <c r="F839" t="s">
        <v>23</v>
      </c>
      <c r="G839" s="3" t="s">
        <v>73</v>
      </c>
      <c r="H839" t="s">
        <v>41</v>
      </c>
      <c r="S839">
        <v>5</v>
      </c>
      <c r="T839" s="13">
        <f t="shared" si="15"/>
        <v>5</v>
      </c>
      <c r="U839" t="s">
        <v>26</v>
      </c>
    </row>
    <row r="840" spans="1:22" x14ac:dyDescent="0.3">
      <c r="A840">
        <v>14</v>
      </c>
      <c r="B840">
        <v>3</v>
      </c>
      <c r="C840">
        <v>207701</v>
      </c>
      <c r="D840" t="s">
        <v>58</v>
      </c>
      <c r="E840" s="10">
        <v>44095</v>
      </c>
      <c r="F840" t="s">
        <v>23</v>
      </c>
      <c r="G840" s="3" t="s">
        <v>73</v>
      </c>
      <c r="H840" t="s">
        <v>46</v>
      </c>
      <c r="Q840">
        <v>3</v>
      </c>
      <c r="T840" s="13">
        <f t="shared" si="15"/>
        <v>3</v>
      </c>
      <c r="U840" t="s">
        <v>26</v>
      </c>
    </row>
    <row r="841" spans="1:22" x14ac:dyDescent="0.3">
      <c r="A841">
        <v>14</v>
      </c>
      <c r="B841">
        <v>3</v>
      </c>
      <c r="C841">
        <v>207701</v>
      </c>
      <c r="D841" t="s">
        <v>58</v>
      </c>
      <c r="E841" s="10">
        <v>44095</v>
      </c>
      <c r="F841" t="s">
        <v>23</v>
      </c>
      <c r="G841" s="3" t="s">
        <v>73</v>
      </c>
      <c r="H841" t="s">
        <v>45</v>
      </c>
      <c r="K841">
        <v>1</v>
      </c>
      <c r="T841" s="13">
        <f t="shared" si="15"/>
        <v>1</v>
      </c>
      <c r="U841" t="s">
        <v>26</v>
      </c>
    </row>
    <row r="842" spans="1:22" x14ac:dyDescent="0.3">
      <c r="A842">
        <v>14</v>
      </c>
      <c r="B842">
        <v>3</v>
      </c>
      <c r="C842">
        <v>207701</v>
      </c>
      <c r="D842" t="s">
        <v>58</v>
      </c>
      <c r="E842" s="10">
        <v>44095</v>
      </c>
      <c r="F842" t="s">
        <v>23</v>
      </c>
      <c r="G842" s="3" t="s">
        <v>73</v>
      </c>
      <c r="H842" t="s">
        <v>43</v>
      </c>
      <c r="K842">
        <v>13</v>
      </c>
      <c r="Q842">
        <v>10</v>
      </c>
      <c r="R842">
        <v>5</v>
      </c>
      <c r="T842" s="13">
        <f t="shared" si="15"/>
        <v>28</v>
      </c>
      <c r="U842" t="s">
        <v>26</v>
      </c>
    </row>
    <row r="843" spans="1:22" s="5" customFormat="1" ht="16.2" thickBot="1" x14ac:dyDescent="0.35">
      <c r="A843" s="5">
        <v>14</v>
      </c>
      <c r="B843" s="5">
        <v>3</v>
      </c>
      <c r="C843" s="5">
        <v>207701</v>
      </c>
      <c r="D843" s="5" t="s">
        <v>58</v>
      </c>
      <c r="E843" s="11">
        <v>44095</v>
      </c>
      <c r="F843" s="5" t="s">
        <v>23</v>
      </c>
      <c r="G843" s="6" t="s">
        <v>73</v>
      </c>
      <c r="H843" s="5" t="s">
        <v>141</v>
      </c>
      <c r="S843" s="5">
        <v>1</v>
      </c>
      <c r="T843" s="12">
        <f t="shared" si="15"/>
        <v>1</v>
      </c>
      <c r="U843" s="5" t="s">
        <v>53</v>
      </c>
      <c r="V843" s="14"/>
    </row>
    <row r="844" spans="1:22" x14ac:dyDescent="0.3">
      <c r="A844">
        <v>14</v>
      </c>
      <c r="B844">
        <v>4</v>
      </c>
      <c r="C844">
        <v>207702</v>
      </c>
      <c r="D844" t="s">
        <v>58</v>
      </c>
      <c r="E844" s="10">
        <v>44095</v>
      </c>
      <c r="F844" t="s">
        <v>23</v>
      </c>
      <c r="G844" s="3" t="s">
        <v>83</v>
      </c>
      <c r="H844" t="s">
        <v>25</v>
      </c>
      <c r="N844">
        <v>6</v>
      </c>
      <c r="O844">
        <v>40</v>
      </c>
      <c r="P844">
        <v>25</v>
      </c>
      <c r="Q844">
        <v>3</v>
      </c>
      <c r="R844">
        <v>1</v>
      </c>
      <c r="T844" s="13">
        <f t="shared" si="15"/>
        <v>75</v>
      </c>
      <c r="U844" t="s">
        <v>26</v>
      </c>
    </row>
    <row r="845" spans="1:22" x14ac:dyDescent="0.3">
      <c r="A845">
        <v>14</v>
      </c>
      <c r="B845">
        <v>4</v>
      </c>
      <c r="C845">
        <v>207702</v>
      </c>
      <c r="D845" t="s">
        <v>58</v>
      </c>
      <c r="E845" s="10">
        <v>44095</v>
      </c>
      <c r="F845" t="s">
        <v>23</v>
      </c>
      <c r="G845" s="3" t="s">
        <v>83</v>
      </c>
      <c r="H845" t="s">
        <v>27</v>
      </c>
      <c r="O845">
        <v>1</v>
      </c>
      <c r="T845" s="13">
        <f t="shared" si="15"/>
        <v>1</v>
      </c>
      <c r="U845" t="s">
        <v>26</v>
      </c>
    </row>
    <row r="846" spans="1:22" x14ac:dyDescent="0.3">
      <c r="A846">
        <v>14</v>
      </c>
      <c r="B846">
        <v>4</v>
      </c>
      <c r="C846">
        <v>207702</v>
      </c>
      <c r="D846" t="s">
        <v>58</v>
      </c>
      <c r="E846" s="10">
        <v>44095</v>
      </c>
      <c r="F846" t="s">
        <v>23</v>
      </c>
      <c r="G846" s="3" t="s">
        <v>83</v>
      </c>
      <c r="H846" t="s">
        <v>69</v>
      </c>
      <c r="I846">
        <v>3</v>
      </c>
      <c r="T846" s="13">
        <f t="shared" si="15"/>
        <v>3</v>
      </c>
      <c r="U846" t="s">
        <v>26</v>
      </c>
    </row>
    <row r="847" spans="1:22" x14ac:dyDescent="0.3">
      <c r="A847">
        <v>14</v>
      </c>
      <c r="B847">
        <v>4</v>
      </c>
      <c r="C847">
        <v>207702</v>
      </c>
      <c r="D847" t="s">
        <v>58</v>
      </c>
      <c r="E847" s="10">
        <v>44095</v>
      </c>
      <c r="F847" t="s">
        <v>23</v>
      </c>
      <c r="G847" s="3" t="s">
        <v>48</v>
      </c>
      <c r="H847" t="s">
        <v>30</v>
      </c>
      <c r="I847">
        <v>17</v>
      </c>
      <c r="J847">
        <v>17</v>
      </c>
      <c r="T847" s="13">
        <f t="shared" si="15"/>
        <v>34</v>
      </c>
      <c r="U847" t="s">
        <v>26</v>
      </c>
    </row>
    <row r="848" spans="1:22" x14ac:dyDescent="0.3">
      <c r="A848">
        <v>14</v>
      </c>
      <c r="B848">
        <v>4</v>
      </c>
      <c r="C848">
        <v>207702</v>
      </c>
      <c r="D848" t="s">
        <v>58</v>
      </c>
      <c r="E848" s="10">
        <v>44095</v>
      </c>
      <c r="F848" t="s">
        <v>23</v>
      </c>
      <c r="G848" s="3" t="s">
        <v>48</v>
      </c>
      <c r="H848" t="s">
        <v>67</v>
      </c>
      <c r="M848">
        <v>1</v>
      </c>
      <c r="T848" s="13">
        <f t="shared" si="15"/>
        <v>1</v>
      </c>
      <c r="U848" t="s">
        <v>26</v>
      </c>
    </row>
    <row r="849" spans="1:22" x14ac:dyDescent="0.3">
      <c r="A849">
        <v>14</v>
      </c>
      <c r="B849">
        <v>4</v>
      </c>
      <c r="C849">
        <v>207702</v>
      </c>
      <c r="D849" t="s">
        <v>58</v>
      </c>
      <c r="E849" s="10">
        <v>44095</v>
      </c>
      <c r="F849" t="s">
        <v>23</v>
      </c>
      <c r="G849" s="3" t="s">
        <v>48</v>
      </c>
      <c r="H849" t="s">
        <v>37</v>
      </c>
      <c r="O849">
        <v>4</v>
      </c>
      <c r="P849">
        <v>5</v>
      </c>
      <c r="Q849">
        <v>6</v>
      </c>
      <c r="R849">
        <v>1</v>
      </c>
      <c r="T849" s="13">
        <f t="shared" si="15"/>
        <v>16</v>
      </c>
      <c r="U849" t="s">
        <v>26</v>
      </c>
    </row>
    <row r="850" spans="1:22" x14ac:dyDescent="0.3">
      <c r="A850">
        <v>14</v>
      </c>
      <c r="B850">
        <v>4</v>
      </c>
      <c r="C850">
        <v>207702</v>
      </c>
      <c r="D850" t="s">
        <v>58</v>
      </c>
      <c r="E850" s="10">
        <v>44095</v>
      </c>
      <c r="F850" t="s">
        <v>23</v>
      </c>
      <c r="G850" s="3" t="s">
        <v>48</v>
      </c>
      <c r="H850" t="s">
        <v>32</v>
      </c>
      <c r="O850">
        <v>8</v>
      </c>
      <c r="T850" s="13">
        <f t="shared" si="15"/>
        <v>8</v>
      </c>
      <c r="U850" t="s">
        <v>26</v>
      </c>
    </row>
    <row r="851" spans="1:22" x14ac:dyDescent="0.3">
      <c r="A851">
        <v>14</v>
      </c>
      <c r="B851">
        <v>4</v>
      </c>
      <c r="C851">
        <v>207702</v>
      </c>
      <c r="D851" t="s">
        <v>58</v>
      </c>
      <c r="E851" s="10">
        <v>44095</v>
      </c>
      <c r="F851" t="s">
        <v>23</v>
      </c>
      <c r="G851" s="3" t="s">
        <v>48</v>
      </c>
      <c r="H851" t="s">
        <v>38</v>
      </c>
      <c r="P851">
        <v>6</v>
      </c>
      <c r="Q851">
        <v>12</v>
      </c>
      <c r="R851">
        <v>20</v>
      </c>
      <c r="T851" s="13">
        <f t="shared" si="15"/>
        <v>38</v>
      </c>
      <c r="U851" t="s">
        <v>26</v>
      </c>
    </row>
    <row r="852" spans="1:22" x14ac:dyDescent="0.3">
      <c r="A852">
        <v>14</v>
      </c>
      <c r="B852">
        <v>4</v>
      </c>
      <c r="C852">
        <v>207702</v>
      </c>
      <c r="D852" t="s">
        <v>58</v>
      </c>
      <c r="E852" s="10">
        <v>44095</v>
      </c>
      <c r="F852" t="s">
        <v>23</v>
      </c>
      <c r="G852" s="3" t="s">
        <v>48</v>
      </c>
      <c r="H852" t="s">
        <v>31</v>
      </c>
      <c r="Q852">
        <v>3</v>
      </c>
      <c r="T852" s="13">
        <f t="shared" si="15"/>
        <v>3</v>
      </c>
      <c r="U852" t="s">
        <v>26</v>
      </c>
    </row>
    <row r="853" spans="1:22" ht="31.2" x14ac:dyDescent="0.3">
      <c r="A853">
        <v>14</v>
      </c>
      <c r="B853">
        <v>4</v>
      </c>
      <c r="C853">
        <v>207702</v>
      </c>
      <c r="D853" t="s">
        <v>58</v>
      </c>
      <c r="E853" s="10">
        <v>44095</v>
      </c>
      <c r="F853" t="s">
        <v>23</v>
      </c>
      <c r="G853" s="3" t="s">
        <v>48</v>
      </c>
      <c r="H853" t="s">
        <v>44</v>
      </c>
      <c r="Q853">
        <v>2</v>
      </c>
      <c r="T853" s="13">
        <f t="shared" si="15"/>
        <v>2</v>
      </c>
      <c r="U853" t="s">
        <v>26</v>
      </c>
      <c r="V853" s="15" t="s">
        <v>84</v>
      </c>
    </row>
    <row r="854" spans="1:22" x14ac:dyDescent="0.3">
      <c r="A854">
        <v>14</v>
      </c>
      <c r="B854">
        <v>4</v>
      </c>
      <c r="C854">
        <v>207702</v>
      </c>
      <c r="D854" t="s">
        <v>58</v>
      </c>
      <c r="E854" s="10">
        <v>44095</v>
      </c>
      <c r="F854" t="s">
        <v>23</v>
      </c>
      <c r="G854" s="3" t="s">
        <v>48</v>
      </c>
      <c r="H854" t="s">
        <v>66</v>
      </c>
      <c r="P854">
        <v>3</v>
      </c>
      <c r="T854" s="13">
        <f t="shared" si="15"/>
        <v>3</v>
      </c>
      <c r="U854" t="s">
        <v>26</v>
      </c>
    </row>
    <row r="855" spans="1:22" x14ac:dyDescent="0.3">
      <c r="A855">
        <v>14</v>
      </c>
      <c r="B855">
        <v>4</v>
      </c>
      <c r="C855">
        <v>207702</v>
      </c>
      <c r="D855" t="s">
        <v>58</v>
      </c>
      <c r="E855" s="10">
        <v>44095</v>
      </c>
      <c r="F855" t="s">
        <v>23</v>
      </c>
      <c r="G855" s="3" t="s">
        <v>48</v>
      </c>
      <c r="H855" t="s">
        <v>41</v>
      </c>
      <c r="S855">
        <v>3</v>
      </c>
      <c r="T855" s="13">
        <f t="shared" si="15"/>
        <v>3</v>
      </c>
      <c r="U855" t="s">
        <v>26</v>
      </c>
    </row>
    <row r="856" spans="1:22" x14ac:dyDescent="0.3">
      <c r="A856">
        <v>14</v>
      </c>
      <c r="B856">
        <v>4</v>
      </c>
      <c r="C856">
        <v>207702</v>
      </c>
      <c r="D856" t="s">
        <v>58</v>
      </c>
      <c r="E856" s="10">
        <v>44095</v>
      </c>
      <c r="F856" t="s">
        <v>23</v>
      </c>
      <c r="G856" s="3" t="s">
        <v>48</v>
      </c>
      <c r="H856" t="s">
        <v>56</v>
      </c>
      <c r="S856">
        <v>1</v>
      </c>
      <c r="T856" s="13">
        <f t="shared" si="15"/>
        <v>1</v>
      </c>
      <c r="U856" t="s">
        <v>26</v>
      </c>
    </row>
    <row r="857" spans="1:22" x14ac:dyDescent="0.3">
      <c r="A857">
        <v>14</v>
      </c>
      <c r="B857">
        <v>4</v>
      </c>
      <c r="C857">
        <v>207702</v>
      </c>
      <c r="D857" t="s">
        <v>58</v>
      </c>
      <c r="E857" s="10">
        <v>44095</v>
      </c>
      <c r="F857" t="s">
        <v>23</v>
      </c>
      <c r="G857" s="3" t="s">
        <v>48</v>
      </c>
      <c r="H857" t="s">
        <v>51</v>
      </c>
      <c r="S857">
        <v>2</v>
      </c>
      <c r="T857" s="13">
        <f t="shared" si="15"/>
        <v>2</v>
      </c>
      <c r="U857" t="s">
        <v>26</v>
      </c>
    </row>
    <row r="858" spans="1:22" x14ac:dyDescent="0.3">
      <c r="A858">
        <v>14</v>
      </c>
      <c r="B858">
        <v>4</v>
      </c>
      <c r="C858">
        <v>207702</v>
      </c>
      <c r="D858" t="s">
        <v>58</v>
      </c>
      <c r="E858" s="10">
        <v>44095</v>
      </c>
      <c r="F858" t="s">
        <v>23</v>
      </c>
      <c r="G858" s="3" t="s">
        <v>48</v>
      </c>
      <c r="H858" t="s">
        <v>43</v>
      </c>
      <c r="K858">
        <v>4</v>
      </c>
      <c r="Q858">
        <v>10</v>
      </c>
      <c r="T858" s="13">
        <f t="shared" si="15"/>
        <v>14</v>
      </c>
      <c r="U858" t="s">
        <v>26</v>
      </c>
    </row>
    <row r="859" spans="1:22" x14ac:dyDescent="0.3">
      <c r="A859">
        <v>14</v>
      </c>
      <c r="B859">
        <v>4</v>
      </c>
      <c r="C859">
        <v>207702</v>
      </c>
      <c r="D859" t="s">
        <v>58</v>
      </c>
      <c r="E859" s="10">
        <v>44095</v>
      </c>
      <c r="F859" t="s">
        <v>23</v>
      </c>
      <c r="G859" s="3" t="s">
        <v>48</v>
      </c>
      <c r="H859" t="s">
        <v>46</v>
      </c>
      <c r="Q859">
        <v>12</v>
      </c>
      <c r="T859" s="13">
        <f t="shared" si="15"/>
        <v>12</v>
      </c>
      <c r="U859" t="s">
        <v>26</v>
      </c>
    </row>
    <row r="860" spans="1:22" s="5" customFormat="1" ht="16.2" thickBot="1" x14ac:dyDescent="0.35">
      <c r="A860" s="5">
        <v>14</v>
      </c>
      <c r="B860" s="5">
        <v>4</v>
      </c>
      <c r="C860" s="5">
        <v>207702</v>
      </c>
      <c r="D860" s="5" t="s">
        <v>58</v>
      </c>
      <c r="E860" s="11">
        <v>44095</v>
      </c>
      <c r="F860" s="5" t="s">
        <v>23</v>
      </c>
      <c r="G860" s="6" t="s">
        <v>48</v>
      </c>
      <c r="H860" s="5" t="s">
        <v>45</v>
      </c>
      <c r="K860" s="5">
        <v>1</v>
      </c>
      <c r="T860" s="12">
        <f t="shared" si="15"/>
        <v>1</v>
      </c>
      <c r="U860" s="5" t="s">
        <v>26</v>
      </c>
      <c r="V860" s="14"/>
    </row>
    <row r="861" spans="1:22" x14ac:dyDescent="0.3">
      <c r="A861">
        <v>14</v>
      </c>
      <c r="B861">
        <v>5</v>
      </c>
      <c r="C861">
        <v>207703</v>
      </c>
      <c r="D861" t="s">
        <v>58</v>
      </c>
      <c r="E861" s="10">
        <v>44095</v>
      </c>
      <c r="F861" t="s">
        <v>23</v>
      </c>
      <c r="G861" s="3" t="s">
        <v>77</v>
      </c>
      <c r="H861" t="s">
        <v>25</v>
      </c>
      <c r="N861">
        <v>18</v>
      </c>
      <c r="O861">
        <v>52</v>
      </c>
      <c r="P861">
        <v>8</v>
      </c>
      <c r="T861" s="13">
        <f t="shared" si="15"/>
        <v>78</v>
      </c>
      <c r="U861" t="s">
        <v>26</v>
      </c>
    </row>
    <row r="862" spans="1:22" x14ac:dyDescent="0.3">
      <c r="A862">
        <v>14</v>
      </c>
      <c r="B862">
        <v>5</v>
      </c>
      <c r="C862">
        <v>207703</v>
      </c>
      <c r="D862" t="s">
        <v>58</v>
      </c>
      <c r="E862" s="10">
        <v>44095</v>
      </c>
      <c r="F862" t="s">
        <v>23</v>
      </c>
      <c r="G862" s="3" t="s">
        <v>77</v>
      </c>
      <c r="H862" t="s">
        <v>69</v>
      </c>
      <c r="I862">
        <v>1</v>
      </c>
      <c r="T862" s="13">
        <f t="shared" si="15"/>
        <v>1</v>
      </c>
      <c r="U862" t="s">
        <v>26</v>
      </c>
    </row>
    <row r="863" spans="1:22" x14ac:dyDescent="0.3">
      <c r="A863">
        <v>14</v>
      </c>
      <c r="B863">
        <v>5</v>
      </c>
      <c r="C863">
        <v>207703</v>
      </c>
      <c r="D863" t="s">
        <v>58</v>
      </c>
      <c r="E863" s="10">
        <v>44095</v>
      </c>
      <c r="F863" t="s">
        <v>23</v>
      </c>
      <c r="G863" s="3" t="s">
        <v>85</v>
      </c>
      <c r="H863" t="s">
        <v>30</v>
      </c>
      <c r="I863">
        <v>15</v>
      </c>
      <c r="J863">
        <v>51</v>
      </c>
      <c r="T863" s="13">
        <f t="shared" si="15"/>
        <v>66</v>
      </c>
      <c r="U863" t="s">
        <v>26</v>
      </c>
    </row>
    <row r="864" spans="1:22" x14ac:dyDescent="0.3">
      <c r="A864">
        <v>14</v>
      </c>
      <c r="B864">
        <v>5</v>
      </c>
      <c r="C864">
        <v>207703</v>
      </c>
      <c r="D864" t="s">
        <v>58</v>
      </c>
      <c r="E864" s="10">
        <v>44095</v>
      </c>
      <c r="F864" t="s">
        <v>23</v>
      </c>
      <c r="G864" s="3" t="s">
        <v>85</v>
      </c>
      <c r="H864" t="s">
        <v>37</v>
      </c>
      <c r="O864">
        <v>9</v>
      </c>
      <c r="P864">
        <v>19</v>
      </c>
      <c r="Q864">
        <v>4</v>
      </c>
      <c r="R864">
        <v>9</v>
      </c>
      <c r="T864" s="13">
        <f t="shared" si="15"/>
        <v>41</v>
      </c>
      <c r="U864" t="s">
        <v>26</v>
      </c>
    </row>
    <row r="865" spans="1:22" x14ac:dyDescent="0.3">
      <c r="A865">
        <v>14</v>
      </c>
      <c r="B865">
        <v>5</v>
      </c>
      <c r="C865">
        <v>207703</v>
      </c>
      <c r="D865" t="s">
        <v>58</v>
      </c>
      <c r="E865" s="10">
        <v>44095</v>
      </c>
      <c r="F865" t="s">
        <v>23</v>
      </c>
      <c r="G865" s="3" t="s">
        <v>85</v>
      </c>
      <c r="H865" t="s">
        <v>32</v>
      </c>
      <c r="O865">
        <v>40</v>
      </c>
      <c r="P865">
        <v>32</v>
      </c>
      <c r="T865" s="13">
        <f t="shared" si="15"/>
        <v>72</v>
      </c>
      <c r="U865" t="s">
        <v>26</v>
      </c>
    </row>
    <row r="866" spans="1:22" x14ac:dyDescent="0.3">
      <c r="A866">
        <v>14</v>
      </c>
      <c r="B866">
        <v>5</v>
      </c>
      <c r="C866">
        <v>207703</v>
      </c>
      <c r="D866" t="s">
        <v>58</v>
      </c>
      <c r="E866" s="10">
        <v>44095</v>
      </c>
      <c r="F866" t="s">
        <v>23</v>
      </c>
      <c r="G866" s="3" t="s">
        <v>85</v>
      </c>
      <c r="H866" t="s">
        <v>31</v>
      </c>
      <c r="P866">
        <v>1</v>
      </c>
      <c r="Q866">
        <v>4</v>
      </c>
      <c r="R866">
        <v>1</v>
      </c>
      <c r="T866" s="13">
        <f t="shared" si="15"/>
        <v>6</v>
      </c>
      <c r="U866" t="s">
        <v>26</v>
      </c>
    </row>
    <row r="867" spans="1:22" x14ac:dyDescent="0.3">
      <c r="A867">
        <v>14</v>
      </c>
      <c r="B867">
        <v>5</v>
      </c>
      <c r="C867">
        <v>207703</v>
      </c>
      <c r="D867" t="s">
        <v>58</v>
      </c>
      <c r="E867" s="10">
        <v>44095</v>
      </c>
      <c r="F867" t="s">
        <v>23</v>
      </c>
      <c r="G867" s="3" t="s">
        <v>85</v>
      </c>
      <c r="H867" t="s">
        <v>38</v>
      </c>
      <c r="Q867">
        <v>5</v>
      </c>
      <c r="R867">
        <v>8</v>
      </c>
      <c r="T867" s="13">
        <f t="shared" si="15"/>
        <v>13</v>
      </c>
      <c r="U867" t="s">
        <v>26</v>
      </c>
    </row>
    <row r="868" spans="1:22" x14ac:dyDescent="0.3">
      <c r="A868">
        <v>14</v>
      </c>
      <c r="B868">
        <v>5</v>
      </c>
      <c r="C868">
        <v>207703</v>
      </c>
      <c r="D868" t="s">
        <v>58</v>
      </c>
      <c r="E868" s="10">
        <v>44095</v>
      </c>
      <c r="F868" t="s">
        <v>23</v>
      </c>
      <c r="G868" s="3" t="s">
        <v>85</v>
      </c>
      <c r="H868" t="s">
        <v>33</v>
      </c>
      <c r="R868">
        <v>1</v>
      </c>
      <c r="T868" s="13">
        <f t="shared" si="15"/>
        <v>1</v>
      </c>
      <c r="U868" t="s">
        <v>26</v>
      </c>
    </row>
    <row r="869" spans="1:22" x14ac:dyDescent="0.3">
      <c r="A869">
        <v>14</v>
      </c>
      <c r="B869">
        <v>5</v>
      </c>
      <c r="C869">
        <v>207703</v>
      </c>
      <c r="D869" t="s">
        <v>58</v>
      </c>
      <c r="E869" s="10">
        <v>44095</v>
      </c>
      <c r="F869" t="s">
        <v>23</v>
      </c>
      <c r="G869" s="3" t="s">
        <v>85</v>
      </c>
      <c r="H869" t="s">
        <v>51</v>
      </c>
      <c r="S869">
        <v>1</v>
      </c>
      <c r="T869" s="13">
        <f t="shared" si="15"/>
        <v>1</v>
      </c>
      <c r="U869" t="s">
        <v>26</v>
      </c>
    </row>
    <row r="870" spans="1:22" x14ac:dyDescent="0.3">
      <c r="A870">
        <v>14</v>
      </c>
      <c r="B870">
        <v>5</v>
      </c>
      <c r="C870">
        <v>207703</v>
      </c>
      <c r="D870" t="s">
        <v>58</v>
      </c>
      <c r="E870" s="10">
        <v>44095</v>
      </c>
      <c r="F870" t="s">
        <v>23</v>
      </c>
      <c r="G870" s="3" t="s">
        <v>85</v>
      </c>
      <c r="H870" t="s">
        <v>41</v>
      </c>
      <c r="S870">
        <v>6</v>
      </c>
      <c r="T870" s="13">
        <f t="shared" si="15"/>
        <v>6</v>
      </c>
      <c r="U870" t="s">
        <v>26</v>
      </c>
    </row>
    <row r="871" spans="1:22" x14ac:dyDescent="0.3">
      <c r="A871">
        <v>14</v>
      </c>
      <c r="B871">
        <v>5</v>
      </c>
      <c r="C871">
        <v>207703</v>
      </c>
      <c r="D871" t="s">
        <v>58</v>
      </c>
      <c r="E871" s="10">
        <v>44095</v>
      </c>
      <c r="F871" t="s">
        <v>23</v>
      </c>
      <c r="G871" s="3" t="s">
        <v>85</v>
      </c>
      <c r="H871" t="s">
        <v>43</v>
      </c>
      <c r="Q871">
        <v>1</v>
      </c>
      <c r="T871" s="13">
        <f t="shared" si="15"/>
        <v>1</v>
      </c>
      <c r="U871" t="s">
        <v>26</v>
      </c>
    </row>
    <row r="872" spans="1:22" x14ac:dyDescent="0.3">
      <c r="A872">
        <v>14</v>
      </c>
      <c r="B872">
        <v>5</v>
      </c>
      <c r="C872">
        <v>207703</v>
      </c>
      <c r="D872" t="s">
        <v>58</v>
      </c>
      <c r="E872" s="10">
        <v>44095</v>
      </c>
      <c r="F872" t="s">
        <v>23</v>
      </c>
      <c r="G872" s="3" t="s">
        <v>85</v>
      </c>
      <c r="H872" t="s">
        <v>45</v>
      </c>
      <c r="I872">
        <v>2</v>
      </c>
      <c r="K872">
        <v>8</v>
      </c>
      <c r="T872" s="13">
        <f t="shared" si="15"/>
        <v>10</v>
      </c>
      <c r="U872" t="s">
        <v>26</v>
      </c>
    </row>
    <row r="873" spans="1:22" s="5" customFormat="1" ht="16.2" thickBot="1" x14ac:dyDescent="0.35">
      <c r="A873" s="5">
        <v>14</v>
      </c>
      <c r="B873" s="5">
        <v>5</v>
      </c>
      <c r="C873" s="5">
        <v>207703</v>
      </c>
      <c r="D873" s="5" t="s">
        <v>58</v>
      </c>
      <c r="E873" s="11">
        <v>44095</v>
      </c>
      <c r="F873" s="5" t="s">
        <v>23</v>
      </c>
      <c r="G873" s="6" t="s">
        <v>85</v>
      </c>
      <c r="H873" s="5" t="s">
        <v>46</v>
      </c>
      <c r="Q873" s="5">
        <v>16</v>
      </c>
      <c r="T873" s="12">
        <f t="shared" si="15"/>
        <v>16</v>
      </c>
      <c r="U873" s="5" t="s">
        <v>26</v>
      </c>
      <c r="V873" s="14"/>
    </row>
    <row r="874" spans="1:22" x14ac:dyDescent="0.3">
      <c r="A874">
        <v>15</v>
      </c>
      <c r="B874">
        <v>1</v>
      </c>
      <c r="C874">
        <v>207704</v>
      </c>
      <c r="D874" t="s">
        <v>58</v>
      </c>
      <c r="E874" s="10">
        <v>44098</v>
      </c>
      <c r="F874" t="s">
        <v>23</v>
      </c>
      <c r="G874" s="3" t="s">
        <v>52</v>
      </c>
      <c r="H874" t="s">
        <v>274</v>
      </c>
      <c r="S874">
        <v>4</v>
      </c>
      <c r="T874" s="13">
        <f t="shared" si="15"/>
        <v>4</v>
      </c>
      <c r="U874" t="s">
        <v>26</v>
      </c>
    </row>
    <row r="875" spans="1:22" x14ac:dyDescent="0.3">
      <c r="A875">
        <v>15</v>
      </c>
      <c r="B875">
        <v>1</v>
      </c>
      <c r="C875">
        <v>207704</v>
      </c>
      <c r="D875" t="s">
        <v>58</v>
      </c>
      <c r="E875" s="10">
        <v>44098</v>
      </c>
      <c r="F875" t="s">
        <v>23</v>
      </c>
      <c r="G875" s="3" t="s">
        <v>52</v>
      </c>
      <c r="H875" t="s">
        <v>60</v>
      </c>
      <c r="S875">
        <v>17</v>
      </c>
      <c r="T875" s="13">
        <f t="shared" si="15"/>
        <v>17</v>
      </c>
      <c r="U875" t="s">
        <v>26</v>
      </c>
    </row>
    <row r="876" spans="1:22" x14ac:dyDescent="0.3">
      <c r="A876">
        <v>15</v>
      </c>
      <c r="B876">
        <v>1</v>
      </c>
      <c r="C876">
        <v>207704</v>
      </c>
      <c r="D876" t="s">
        <v>58</v>
      </c>
      <c r="E876" s="10">
        <v>44098</v>
      </c>
      <c r="F876" t="s">
        <v>23</v>
      </c>
      <c r="G876" s="3" t="s">
        <v>52</v>
      </c>
      <c r="H876" t="s">
        <v>67</v>
      </c>
      <c r="Q876">
        <v>3</v>
      </c>
      <c r="T876" s="13">
        <f t="shared" si="15"/>
        <v>3</v>
      </c>
      <c r="U876" t="s">
        <v>26</v>
      </c>
    </row>
    <row r="877" spans="1:22" x14ac:dyDescent="0.3">
      <c r="A877">
        <v>15</v>
      </c>
      <c r="B877">
        <v>1</v>
      </c>
      <c r="C877">
        <v>207704</v>
      </c>
      <c r="D877" t="s">
        <v>58</v>
      </c>
      <c r="E877" s="10">
        <v>44098</v>
      </c>
      <c r="F877" t="s">
        <v>23</v>
      </c>
      <c r="G877" s="3" t="s">
        <v>52</v>
      </c>
      <c r="H877" t="s">
        <v>34</v>
      </c>
      <c r="Q877">
        <v>1</v>
      </c>
      <c r="R877">
        <v>2</v>
      </c>
      <c r="T877" s="13">
        <f t="shared" si="15"/>
        <v>3</v>
      </c>
      <c r="U877" t="s">
        <v>26</v>
      </c>
    </row>
    <row r="878" spans="1:22" x14ac:dyDescent="0.3">
      <c r="A878">
        <v>15</v>
      </c>
      <c r="B878">
        <v>1</v>
      </c>
      <c r="C878">
        <v>207704</v>
      </c>
      <c r="D878" t="s">
        <v>58</v>
      </c>
      <c r="E878" s="10">
        <v>44098</v>
      </c>
      <c r="F878" t="s">
        <v>23</v>
      </c>
      <c r="G878" s="3" t="s">
        <v>52</v>
      </c>
      <c r="H878" t="s">
        <v>25</v>
      </c>
      <c r="O878">
        <v>1</v>
      </c>
      <c r="P878">
        <v>17</v>
      </c>
      <c r="T878" s="13">
        <f t="shared" si="15"/>
        <v>18</v>
      </c>
      <c r="U878" t="s">
        <v>26</v>
      </c>
    </row>
    <row r="879" spans="1:22" x14ac:dyDescent="0.3">
      <c r="A879">
        <v>15</v>
      </c>
      <c r="B879">
        <v>1</v>
      </c>
      <c r="C879">
        <v>207704</v>
      </c>
      <c r="D879" t="s">
        <v>58</v>
      </c>
      <c r="E879" s="10">
        <v>44098</v>
      </c>
      <c r="F879" t="s">
        <v>23</v>
      </c>
      <c r="G879" s="3" t="s">
        <v>52</v>
      </c>
      <c r="H879" t="s">
        <v>79</v>
      </c>
      <c r="S879">
        <v>1</v>
      </c>
      <c r="T879" s="13">
        <f t="shared" si="15"/>
        <v>1</v>
      </c>
      <c r="U879" t="s">
        <v>26</v>
      </c>
    </row>
    <row r="880" spans="1:22" x14ac:dyDescent="0.3">
      <c r="A880">
        <v>15</v>
      </c>
      <c r="B880">
        <v>1</v>
      </c>
      <c r="C880">
        <v>207704</v>
      </c>
      <c r="D880" t="s">
        <v>58</v>
      </c>
      <c r="E880" s="10">
        <v>44098</v>
      </c>
      <c r="F880" t="s">
        <v>23</v>
      </c>
      <c r="G880" s="3" t="s">
        <v>73</v>
      </c>
      <c r="H880" t="s">
        <v>25</v>
      </c>
      <c r="O880">
        <v>4</v>
      </c>
      <c r="P880">
        <v>84</v>
      </c>
      <c r="T880" s="13">
        <f t="shared" si="15"/>
        <v>88</v>
      </c>
      <c r="U880" t="s">
        <v>26</v>
      </c>
    </row>
    <row r="881" spans="1:21" x14ac:dyDescent="0.3">
      <c r="A881">
        <v>15</v>
      </c>
      <c r="B881">
        <v>1</v>
      </c>
      <c r="C881">
        <v>207704</v>
      </c>
      <c r="D881" t="s">
        <v>58</v>
      </c>
      <c r="E881" s="10">
        <v>44098</v>
      </c>
      <c r="F881" t="s">
        <v>23</v>
      </c>
      <c r="G881" s="3" t="s">
        <v>73</v>
      </c>
      <c r="H881" t="s">
        <v>27</v>
      </c>
      <c r="O881">
        <v>1</v>
      </c>
      <c r="P881">
        <v>2</v>
      </c>
      <c r="T881" s="13">
        <f t="shared" si="15"/>
        <v>3</v>
      </c>
      <c r="U881" t="s">
        <v>26</v>
      </c>
    </row>
    <row r="882" spans="1:21" x14ac:dyDescent="0.3">
      <c r="A882">
        <v>15</v>
      </c>
      <c r="B882">
        <v>1</v>
      </c>
      <c r="C882">
        <v>207704</v>
      </c>
      <c r="D882" t="s">
        <v>58</v>
      </c>
      <c r="E882" s="10">
        <v>44098</v>
      </c>
      <c r="F882" t="s">
        <v>23</v>
      </c>
      <c r="G882" s="3" t="s">
        <v>54</v>
      </c>
      <c r="H882" t="s">
        <v>60</v>
      </c>
      <c r="S882">
        <v>64</v>
      </c>
      <c r="T882" s="13">
        <f t="shared" si="15"/>
        <v>64</v>
      </c>
      <c r="U882" t="s">
        <v>26</v>
      </c>
    </row>
    <row r="883" spans="1:21" x14ac:dyDescent="0.3">
      <c r="A883">
        <v>15</v>
      </c>
      <c r="B883">
        <v>1</v>
      </c>
      <c r="C883">
        <v>207704</v>
      </c>
      <c r="D883" t="s">
        <v>58</v>
      </c>
      <c r="E883" s="10">
        <v>44098</v>
      </c>
      <c r="F883" t="s">
        <v>23</v>
      </c>
      <c r="G883" s="3" t="s">
        <v>54</v>
      </c>
      <c r="H883" t="s">
        <v>274</v>
      </c>
      <c r="S883">
        <v>19</v>
      </c>
      <c r="T883" s="13">
        <f t="shared" si="15"/>
        <v>19</v>
      </c>
      <c r="U883" t="s">
        <v>26</v>
      </c>
    </row>
    <row r="884" spans="1:21" x14ac:dyDescent="0.3">
      <c r="A884">
        <v>15</v>
      </c>
      <c r="B884">
        <v>1</v>
      </c>
      <c r="C884">
        <v>207704</v>
      </c>
      <c r="D884" t="s">
        <v>58</v>
      </c>
      <c r="E884" s="10">
        <v>44098</v>
      </c>
      <c r="F884" t="s">
        <v>23</v>
      </c>
      <c r="G884" s="3" t="s">
        <v>73</v>
      </c>
      <c r="H884" t="s">
        <v>69</v>
      </c>
      <c r="I884">
        <v>1</v>
      </c>
      <c r="T884" s="13">
        <f t="shared" si="15"/>
        <v>1</v>
      </c>
      <c r="U884" t="s">
        <v>26</v>
      </c>
    </row>
    <row r="885" spans="1:21" x14ac:dyDescent="0.3">
      <c r="A885">
        <v>15</v>
      </c>
      <c r="B885">
        <v>1</v>
      </c>
      <c r="C885">
        <v>207704</v>
      </c>
      <c r="D885" t="s">
        <v>58</v>
      </c>
      <c r="E885" s="10">
        <v>44098</v>
      </c>
      <c r="F885" t="s">
        <v>23</v>
      </c>
      <c r="G885" s="3" t="s">
        <v>54</v>
      </c>
      <c r="H885" t="s">
        <v>67</v>
      </c>
      <c r="Q885">
        <v>1</v>
      </c>
      <c r="T885" s="13">
        <f t="shared" si="15"/>
        <v>1</v>
      </c>
      <c r="U885" t="s">
        <v>26</v>
      </c>
    </row>
    <row r="886" spans="1:21" x14ac:dyDescent="0.3">
      <c r="A886">
        <v>15</v>
      </c>
      <c r="B886">
        <v>1</v>
      </c>
      <c r="C886">
        <v>207704</v>
      </c>
      <c r="D886" t="s">
        <v>58</v>
      </c>
      <c r="E886" s="10">
        <v>44098</v>
      </c>
      <c r="F886" t="s">
        <v>23</v>
      </c>
      <c r="G886" s="3" t="s">
        <v>54</v>
      </c>
      <c r="H886" t="s">
        <v>38</v>
      </c>
      <c r="Q886">
        <v>1</v>
      </c>
      <c r="T886" s="13">
        <f t="shared" ref="T886:T948" si="16">SUM(I886:S886)</f>
        <v>1</v>
      </c>
      <c r="U886" t="s">
        <v>26</v>
      </c>
    </row>
    <row r="887" spans="1:21" x14ac:dyDescent="0.3">
      <c r="A887">
        <v>15</v>
      </c>
      <c r="B887">
        <v>1</v>
      </c>
      <c r="C887">
        <v>207704</v>
      </c>
      <c r="D887" t="s">
        <v>58</v>
      </c>
      <c r="E887" s="10">
        <v>44098</v>
      </c>
      <c r="F887" t="s">
        <v>23</v>
      </c>
      <c r="G887" s="3" t="s">
        <v>54</v>
      </c>
      <c r="H887" t="s">
        <v>34</v>
      </c>
      <c r="Q887">
        <v>2</v>
      </c>
      <c r="R887">
        <v>3</v>
      </c>
      <c r="T887" s="13">
        <f t="shared" si="16"/>
        <v>5</v>
      </c>
      <c r="U887" t="s">
        <v>26</v>
      </c>
    </row>
    <row r="888" spans="1:21" x14ac:dyDescent="0.3">
      <c r="A888">
        <v>15</v>
      </c>
      <c r="B888">
        <v>1</v>
      </c>
      <c r="C888">
        <v>207704</v>
      </c>
      <c r="D888" t="s">
        <v>58</v>
      </c>
      <c r="E888" s="10">
        <v>44098</v>
      </c>
      <c r="F888" t="s">
        <v>23</v>
      </c>
      <c r="G888" s="3" t="s">
        <v>54</v>
      </c>
      <c r="H888" t="s">
        <v>62</v>
      </c>
      <c r="Q888">
        <v>1</v>
      </c>
      <c r="T888" s="13">
        <f t="shared" si="16"/>
        <v>1</v>
      </c>
      <c r="U888" t="s">
        <v>26</v>
      </c>
    </row>
    <row r="889" spans="1:21" x14ac:dyDescent="0.3">
      <c r="A889">
        <v>15</v>
      </c>
      <c r="B889">
        <v>1</v>
      </c>
      <c r="C889">
        <v>207704</v>
      </c>
      <c r="D889" t="s">
        <v>58</v>
      </c>
      <c r="E889" s="10">
        <v>44098</v>
      </c>
      <c r="F889" t="s">
        <v>23</v>
      </c>
      <c r="G889" s="3" t="s">
        <v>54</v>
      </c>
      <c r="H889" t="s">
        <v>46</v>
      </c>
      <c r="Q889">
        <v>2</v>
      </c>
      <c r="T889" s="13">
        <f t="shared" si="16"/>
        <v>2</v>
      </c>
      <c r="U889" t="s">
        <v>26</v>
      </c>
    </row>
    <row r="890" spans="1:21" x14ac:dyDescent="0.3">
      <c r="A890">
        <v>15</v>
      </c>
      <c r="B890">
        <v>1</v>
      </c>
      <c r="C890">
        <v>207704</v>
      </c>
      <c r="D890" t="s">
        <v>58</v>
      </c>
      <c r="E890" s="10">
        <v>44098</v>
      </c>
      <c r="F890" t="s">
        <v>23</v>
      </c>
      <c r="G890" s="3" t="s">
        <v>54</v>
      </c>
      <c r="H890" t="s">
        <v>51</v>
      </c>
      <c r="S890">
        <v>2</v>
      </c>
      <c r="T890" s="13">
        <f t="shared" si="16"/>
        <v>2</v>
      </c>
      <c r="U890" t="s">
        <v>26</v>
      </c>
    </row>
    <row r="891" spans="1:21" x14ac:dyDescent="0.3">
      <c r="A891">
        <v>15</v>
      </c>
      <c r="B891">
        <v>1</v>
      </c>
      <c r="C891">
        <v>207704</v>
      </c>
      <c r="D891" t="s">
        <v>58</v>
      </c>
      <c r="E891" s="10">
        <v>44098</v>
      </c>
      <c r="F891" t="s">
        <v>23</v>
      </c>
      <c r="G891" s="3" t="s">
        <v>52</v>
      </c>
      <c r="H891" t="s">
        <v>82</v>
      </c>
      <c r="S891">
        <v>29</v>
      </c>
      <c r="T891" s="13">
        <f t="shared" si="16"/>
        <v>29</v>
      </c>
      <c r="U891" t="s">
        <v>53</v>
      </c>
    </row>
    <row r="892" spans="1:21" x14ac:dyDescent="0.3">
      <c r="A892">
        <v>15</v>
      </c>
      <c r="B892">
        <v>1</v>
      </c>
      <c r="C892">
        <v>207704</v>
      </c>
      <c r="D892" t="s">
        <v>58</v>
      </c>
      <c r="E892" s="10">
        <v>44098</v>
      </c>
      <c r="F892" t="s">
        <v>23</v>
      </c>
      <c r="G892" s="3" t="s">
        <v>52</v>
      </c>
      <c r="H892" t="s">
        <v>238</v>
      </c>
      <c r="S892">
        <v>4</v>
      </c>
      <c r="T892" s="13">
        <f t="shared" si="16"/>
        <v>4</v>
      </c>
      <c r="U892" t="s">
        <v>53</v>
      </c>
    </row>
    <row r="893" spans="1:21" x14ac:dyDescent="0.3">
      <c r="A893">
        <v>15</v>
      </c>
      <c r="B893">
        <v>1</v>
      </c>
      <c r="C893">
        <v>207704</v>
      </c>
      <c r="D893" t="s">
        <v>58</v>
      </c>
      <c r="E893" s="10">
        <v>44098</v>
      </c>
      <c r="F893" t="s">
        <v>23</v>
      </c>
      <c r="G893" s="3" t="s">
        <v>52</v>
      </c>
      <c r="H893" t="s">
        <v>65</v>
      </c>
      <c r="S893">
        <v>3</v>
      </c>
      <c r="T893" s="13">
        <f t="shared" si="16"/>
        <v>3</v>
      </c>
      <c r="U893" t="s">
        <v>53</v>
      </c>
    </row>
    <row r="894" spans="1:21" x14ac:dyDescent="0.3">
      <c r="A894">
        <v>15</v>
      </c>
      <c r="B894">
        <v>1</v>
      </c>
      <c r="C894">
        <v>207704</v>
      </c>
      <c r="D894" t="s">
        <v>58</v>
      </c>
      <c r="E894" s="10">
        <v>44098</v>
      </c>
      <c r="F894" t="s">
        <v>23</v>
      </c>
      <c r="G894" s="3" t="s">
        <v>52</v>
      </c>
      <c r="H894" t="s">
        <v>64</v>
      </c>
      <c r="S894">
        <v>1</v>
      </c>
      <c r="T894" s="13">
        <f t="shared" si="16"/>
        <v>1</v>
      </c>
      <c r="U894" t="s">
        <v>53</v>
      </c>
    </row>
    <row r="895" spans="1:21" x14ac:dyDescent="0.3">
      <c r="A895">
        <v>15</v>
      </c>
      <c r="B895">
        <v>1</v>
      </c>
      <c r="C895">
        <v>207704</v>
      </c>
      <c r="D895" t="s">
        <v>58</v>
      </c>
      <c r="E895" s="10">
        <v>44098</v>
      </c>
      <c r="F895" t="s">
        <v>23</v>
      </c>
      <c r="G895" s="3" t="s">
        <v>52</v>
      </c>
      <c r="H895" t="s">
        <v>86</v>
      </c>
      <c r="S895">
        <v>1</v>
      </c>
      <c r="T895" s="13">
        <f t="shared" si="16"/>
        <v>1</v>
      </c>
      <c r="U895" t="s">
        <v>53</v>
      </c>
    </row>
    <row r="896" spans="1:21" x14ac:dyDescent="0.3">
      <c r="A896">
        <v>15</v>
      </c>
      <c r="B896">
        <v>1</v>
      </c>
      <c r="C896">
        <v>207704</v>
      </c>
      <c r="D896" t="s">
        <v>58</v>
      </c>
      <c r="E896" s="10">
        <v>44098</v>
      </c>
      <c r="F896" t="s">
        <v>23</v>
      </c>
      <c r="G896" s="3" t="s">
        <v>54</v>
      </c>
      <c r="H896" t="s">
        <v>250</v>
      </c>
      <c r="S896">
        <v>1</v>
      </c>
      <c r="T896" s="13">
        <f t="shared" si="16"/>
        <v>1</v>
      </c>
      <c r="U896" t="s">
        <v>53</v>
      </c>
    </row>
    <row r="897" spans="1:22" s="5" customFormat="1" ht="16.2" thickBot="1" x14ac:dyDescent="0.35">
      <c r="A897" s="5">
        <v>15</v>
      </c>
      <c r="B897" s="5">
        <v>1</v>
      </c>
      <c r="C897" s="5">
        <v>207704</v>
      </c>
      <c r="D897" s="5" t="s">
        <v>58</v>
      </c>
      <c r="E897" s="11">
        <v>44098</v>
      </c>
      <c r="F897" s="5" t="s">
        <v>23</v>
      </c>
      <c r="G897" s="6" t="s">
        <v>52</v>
      </c>
      <c r="H897" s="5" t="s">
        <v>180</v>
      </c>
      <c r="S897" s="5">
        <v>5</v>
      </c>
      <c r="T897" s="12">
        <f t="shared" si="16"/>
        <v>5</v>
      </c>
      <c r="U897" s="5" t="s">
        <v>53</v>
      </c>
      <c r="V897" s="14"/>
    </row>
    <row r="898" spans="1:22" x14ac:dyDescent="0.3">
      <c r="A898">
        <v>15</v>
      </c>
      <c r="B898">
        <v>2</v>
      </c>
      <c r="C898">
        <v>207705</v>
      </c>
      <c r="D898" t="s">
        <v>58</v>
      </c>
      <c r="E898" s="10">
        <v>44098</v>
      </c>
      <c r="F898" t="s">
        <v>23</v>
      </c>
      <c r="G898" s="3" t="s">
        <v>28</v>
      </c>
      <c r="H898" t="s">
        <v>25</v>
      </c>
      <c r="O898">
        <v>10</v>
      </c>
      <c r="P898">
        <v>107</v>
      </c>
      <c r="Q898">
        <v>3</v>
      </c>
      <c r="R898">
        <v>1</v>
      </c>
      <c r="T898" s="13">
        <f t="shared" si="16"/>
        <v>121</v>
      </c>
      <c r="U898" t="s">
        <v>26</v>
      </c>
    </row>
    <row r="899" spans="1:22" x14ac:dyDescent="0.3">
      <c r="A899">
        <v>15</v>
      </c>
      <c r="B899">
        <v>2</v>
      </c>
      <c r="C899">
        <v>207705</v>
      </c>
      <c r="D899" t="s">
        <v>58</v>
      </c>
      <c r="E899" s="10">
        <v>44098</v>
      </c>
      <c r="F899" t="s">
        <v>23</v>
      </c>
      <c r="G899" s="3" t="s">
        <v>28</v>
      </c>
      <c r="H899" t="s">
        <v>60</v>
      </c>
      <c r="S899">
        <v>9</v>
      </c>
      <c r="T899" s="13">
        <f t="shared" si="16"/>
        <v>9</v>
      </c>
      <c r="U899" t="s">
        <v>26</v>
      </c>
    </row>
    <row r="900" spans="1:22" x14ac:dyDescent="0.3">
      <c r="A900">
        <v>15</v>
      </c>
      <c r="B900">
        <v>2</v>
      </c>
      <c r="C900">
        <v>207705</v>
      </c>
      <c r="D900" t="s">
        <v>58</v>
      </c>
      <c r="E900" s="10">
        <v>44098</v>
      </c>
      <c r="F900" t="s">
        <v>23</v>
      </c>
      <c r="G900" s="3" t="s">
        <v>28</v>
      </c>
      <c r="H900" t="s">
        <v>30</v>
      </c>
      <c r="I900">
        <v>5</v>
      </c>
      <c r="J900">
        <v>2</v>
      </c>
      <c r="T900" s="13">
        <f t="shared" si="16"/>
        <v>7</v>
      </c>
      <c r="U900" t="s">
        <v>26</v>
      </c>
    </row>
    <row r="901" spans="1:22" x14ac:dyDescent="0.3">
      <c r="A901">
        <v>15</v>
      </c>
      <c r="B901">
        <v>2</v>
      </c>
      <c r="C901">
        <v>207705</v>
      </c>
      <c r="D901" t="s">
        <v>58</v>
      </c>
      <c r="E901" s="10">
        <v>44098</v>
      </c>
      <c r="F901" t="s">
        <v>23</v>
      </c>
      <c r="G901" s="3" t="s">
        <v>28</v>
      </c>
      <c r="H901" t="s">
        <v>67</v>
      </c>
      <c r="M901">
        <v>1</v>
      </c>
      <c r="T901" s="13">
        <f t="shared" si="16"/>
        <v>1</v>
      </c>
      <c r="U901" t="s">
        <v>26</v>
      </c>
    </row>
    <row r="902" spans="1:22" x14ac:dyDescent="0.3">
      <c r="A902">
        <v>15</v>
      </c>
      <c r="B902">
        <v>2</v>
      </c>
      <c r="C902">
        <v>207705</v>
      </c>
      <c r="D902" t="s">
        <v>58</v>
      </c>
      <c r="E902" s="10">
        <v>44098</v>
      </c>
      <c r="F902" t="s">
        <v>23</v>
      </c>
      <c r="G902" s="3" t="s">
        <v>28</v>
      </c>
      <c r="H902" t="s">
        <v>66</v>
      </c>
      <c r="O902">
        <v>3</v>
      </c>
      <c r="T902" s="13">
        <f t="shared" si="16"/>
        <v>3</v>
      </c>
      <c r="U902" t="s">
        <v>26</v>
      </c>
    </row>
    <row r="903" spans="1:22" x14ac:dyDescent="0.3">
      <c r="A903">
        <v>15</v>
      </c>
      <c r="B903">
        <v>2</v>
      </c>
      <c r="C903">
        <v>207705</v>
      </c>
      <c r="D903" t="s">
        <v>58</v>
      </c>
      <c r="E903" s="10">
        <v>44098</v>
      </c>
      <c r="F903" t="s">
        <v>23</v>
      </c>
      <c r="G903" s="3" t="s">
        <v>28</v>
      </c>
      <c r="H903" t="s">
        <v>34</v>
      </c>
      <c r="P903">
        <v>8</v>
      </c>
      <c r="Q903">
        <v>8</v>
      </c>
      <c r="R903">
        <v>19</v>
      </c>
      <c r="T903" s="13">
        <f t="shared" si="16"/>
        <v>35</v>
      </c>
      <c r="U903" t="s">
        <v>26</v>
      </c>
    </row>
    <row r="904" spans="1:22" x14ac:dyDescent="0.3">
      <c r="A904">
        <v>15</v>
      </c>
      <c r="B904">
        <v>2</v>
      </c>
      <c r="C904">
        <v>207705</v>
      </c>
      <c r="D904" t="s">
        <v>58</v>
      </c>
      <c r="E904" s="10">
        <v>44098</v>
      </c>
      <c r="F904" t="s">
        <v>23</v>
      </c>
      <c r="G904" s="3" t="s">
        <v>28</v>
      </c>
      <c r="H904" t="s">
        <v>38</v>
      </c>
      <c r="Q904">
        <v>1</v>
      </c>
      <c r="R904">
        <v>6</v>
      </c>
      <c r="T904" s="13">
        <f t="shared" si="16"/>
        <v>7</v>
      </c>
      <c r="U904" t="s">
        <v>26</v>
      </c>
    </row>
    <row r="905" spans="1:22" x14ac:dyDescent="0.3">
      <c r="A905">
        <v>15</v>
      </c>
      <c r="B905">
        <v>2</v>
      </c>
      <c r="C905">
        <v>207705</v>
      </c>
      <c r="D905" t="s">
        <v>58</v>
      </c>
      <c r="E905" s="10">
        <v>44098</v>
      </c>
      <c r="F905" t="s">
        <v>23</v>
      </c>
      <c r="G905" s="3" t="s">
        <v>28</v>
      </c>
      <c r="H905" t="s">
        <v>37</v>
      </c>
      <c r="P905">
        <v>1</v>
      </c>
      <c r="Q905">
        <v>3</v>
      </c>
      <c r="T905" s="13">
        <f t="shared" si="16"/>
        <v>4</v>
      </c>
      <c r="U905" t="s">
        <v>26</v>
      </c>
    </row>
    <row r="906" spans="1:22" x14ac:dyDescent="0.3">
      <c r="A906">
        <v>15</v>
      </c>
      <c r="B906">
        <v>2</v>
      </c>
      <c r="C906">
        <v>207705</v>
      </c>
      <c r="D906" t="s">
        <v>58</v>
      </c>
      <c r="E906" s="10">
        <v>44098</v>
      </c>
      <c r="F906" t="s">
        <v>23</v>
      </c>
      <c r="G906" s="3" t="s">
        <v>28</v>
      </c>
      <c r="H906" t="s">
        <v>31</v>
      </c>
      <c r="Q906">
        <v>1</v>
      </c>
      <c r="T906" s="13">
        <f t="shared" si="16"/>
        <v>1</v>
      </c>
      <c r="U906" t="s">
        <v>26</v>
      </c>
    </row>
    <row r="907" spans="1:22" x14ac:dyDescent="0.3">
      <c r="A907">
        <v>15</v>
      </c>
      <c r="B907">
        <v>2</v>
      </c>
      <c r="C907">
        <v>207705</v>
      </c>
      <c r="D907" t="s">
        <v>58</v>
      </c>
      <c r="E907" s="10">
        <v>44098</v>
      </c>
      <c r="F907" t="s">
        <v>23</v>
      </c>
      <c r="G907" s="3" t="s">
        <v>28</v>
      </c>
      <c r="H907" t="s">
        <v>46</v>
      </c>
      <c r="K907">
        <v>1</v>
      </c>
      <c r="T907" s="13">
        <f t="shared" si="16"/>
        <v>1</v>
      </c>
      <c r="U907" t="s">
        <v>26</v>
      </c>
    </row>
    <row r="908" spans="1:22" x14ac:dyDescent="0.3">
      <c r="A908">
        <v>15</v>
      </c>
      <c r="B908">
        <v>2</v>
      </c>
      <c r="C908">
        <v>207705</v>
      </c>
      <c r="D908" t="s">
        <v>58</v>
      </c>
      <c r="E908" s="10">
        <v>44098</v>
      </c>
      <c r="F908" t="s">
        <v>23</v>
      </c>
      <c r="G908" s="3" t="s">
        <v>28</v>
      </c>
      <c r="H908" t="s">
        <v>43</v>
      </c>
      <c r="Q908">
        <v>1</v>
      </c>
      <c r="T908" s="13">
        <f t="shared" si="16"/>
        <v>1</v>
      </c>
      <c r="U908" t="s">
        <v>26</v>
      </c>
    </row>
    <row r="909" spans="1:22" s="5" customFormat="1" ht="16.2" thickBot="1" x14ac:dyDescent="0.35">
      <c r="A909" s="5">
        <v>15</v>
      </c>
      <c r="B909" s="5">
        <v>2</v>
      </c>
      <c r="C909" s="5">
        <v>207705</v>
      </c>
      <c r="D909" s="5" t="s">
        <v>58</v>
      </c>
      <c r="E909" s="11">
        <v>44098</v>
      </c>
      <c r="F909" s="5" t="s">
        <v>23</v>
      </c>
      <c r="G909" s="6" t="s">
        <v>52</v>
      </c>
      <c r="H909" s="5" t="s">
        <v>141</v>
      </c>
      <c r="S909" s="5">
        <v>1</v>
      </c>
      <c r="T909" s="12">
        <f t="shared" si="16"/>
        <v>1</v>
      </c>
      <c r="U909" s="5" t="s">
        <v>53</v>
      </c>
      <c r="V909" s="14"/>
    </row>
    <row r="910" spans="1:22" x14ac:dyDescent="0.3">
      <c r="A910">
        <v>15</v>
      </c>
      <c r="B910">
        <v>3</v>
      </c>
      <c r="C910">
        <v>207706</v>
      </c>
      <c r="D910" t="s">
        <v>58</v>
      </c>
      <c r="E910" s="10">
        <v>44098</v>
      </c>
      <c r="F910" t="s">
        <v>23</v>
      </c>
      <c r="G910" s="3" t="s">
        <v>87</v>
      </c>
      <c r="H910" t="s">
        <v>25</v>
      </c>
      <c r="N910">
        <v>4</v>
      </c>
      <c r="O910">
        <v>33</v>
      </c>
      <c r="P910">
        <v>48</v>
      </c>
      <c r="Q910">
        <v>1</v>
      </c>
      <c r="T910" s="13">
        <f t="shared" si="16"/>
        <v>86</v>
      </c>
      <c r="U910" t="s">
        <v>26</v>
      </c>
    </row>
    <row r="911" spans="1:22" x14ac:dyDescent="0.3">
      <c r="A911">
        <v>15</v>
      </c>
      <c r="B911">
        <v>3</v>
      </c>
      <c r="C911">
        <v>207706</v>
      </c>
      <c r="D911" t="s">
        <v>58</v>
      </c>
      <c r="E911" s="10">
        <v>44098</v>
      </c>
      <c r="F911" t="s">
        <v>23</v>
      </c>
      <c r="G911" s="3" t="s">
        <v>73</v>
      </c>
      <c r="H911" t="s">
        <v>60</v>
      </c>
      <c r="S911">
        <v>2</v>
      </c>
      <c r="T911" s="13">
        <f t="shared" si="16"/>
        <v>2</v>
      </c>
      <c r="U911" t="s">
        <v>26</v>
      </c>
    </row>
    <row r="912" spans="1:22" x14ac:dyDescent="0.3">
      <c r="A912">
        <v>15</v>
      </c>
      <c r="B912">
        <v>3</v>
      </c>
      <c r="C912">
        <v>207706</v>
      </c>
      <c r="D912" t="s">
        <v>58</v>
      </c>
      <c r="E912" s="10">
        <v>44098</v>
      </c>
      <c r="F912" t="s">
        <v>23</v>
      </c>
      <c r="G912" s="3" t="s">
        <v>87</v>
      </c>
      <c r="H912" t="s">
        <v>69</v>
      </c>
      <c r="I912">
        <v>4</v>
      </c>
      <c r="T912" s="13">
        <f t="shared" si="16"/>
        <v>4</v>
      </c>
      <c r="U912" t="s">
        <v>26</v>
      </c>
    </row>
    <row r="913" spans="1:22" x14ac:dyDescent="0.3">
      <c r="A913">
        <v>15</v>
      </c>
      <c r="B913">
        <v>3</v>
      </c>
      <c r="C913">
        <v>207706</v>
      </c>
      <c r="D913" t="s">
        <v>58</v>
      </c>
      <c r="E913" s="10">
        <v>44098</v>
      </c>
      <c r="F913" t="s">
        <v>23</v>
      </c>
      <c r="G913" s="3" t="s">
        <v>73</v>
      </c>
      <c r="H913" t="s">
        <v>38</v>
      </c>
      <c r="O913">
        <v>15</v>
      </c>
      <c r="P913">
        <v>5</v>
      </c>
      <c r="Q913">
        <v>5</v>
      </c>
      <c r="R913">
        <v>11</v>
      </c>
      <c r="T913" s="13">
        <f t="shared" si="16"/>
        <v>36</v>
      </c>
      <c r="U913" t="s">
        <v>26</v>
      </c>
    </row>
    <row r="914" spans="1:22" x14ac:dyDescent="0.3">
      <c r="A914">
        <v>15</v>
      </c>
      <c r="B914">
        <v>3</v>
      </c>
      <c r="C914">
        <v>207706</v>
      </c>
      <c r="D914" t="s">
        <v>58</v>
      </c>
      <c r="E914" s="10">
        <v>44098</v>
      </c>
      <c r="F914" t="s">
        <v>23</v>
      </c>
      <c r="G914" s="3" t="s">
        <v>73</v>
      </c>
      <c r="H914" t="s">
        <v>34</v>
      </c>
      <c r="N914">
        <v>1</v>
      </c>
      <c r="P914">
        <v>1</v>
      </c>
      <c r="Q914">
        <v>1</v>
      </c>
      <c r="R914">
        <v>6</v>
      </c>
      <c r="T914" s="13">
        <f t="shared" si="16"/>
        <v>9</v>
      </c>
      <c r="U914" t="s">
        <v>26</v>
      </c>
    </row>
    <row r="915" spans="1:22" x14ac:dyDescent="0.3">
      <c r="A915">
        <v>15</v>
      </c>
      <c r="B915">
        <v>3</v>
      </c>
      <c r="C915">
        <v>207706</v>
      </c>
      <c r="D915" t="s">
        <v>58</v>
      </c>
      <c r="E915" s="10">
        <v>44098</v>
      </c>
      <c r="F915" t="s">
        <v>23</v>
      </c>
      <c r="G915" s="3" t="s">
        <v>73</v>
      </c>
      <c r="H915" t="s">
        <v>31</v>
      </c>
      <c r="O915">
        <v>1</v>
      </c>
      <c r="P915">
        <v>2</v>
      </c>
      <c r="Q915">
        <v>2</v>
      </c>
      <c r="T915" s="13">
        <f t="shared" si="16"/>
        <v>5</v>
      </c>
      <c r="U915" t="s">
        <v>26</v>
      </c>
    </row>
    <row r="916" spans="1:22" x14ac:dyDescent="0.3">
      <c r="A916">
        <v>15</v>
      </c>
      <c r="B916">
        <v>3</v>
      </c>
      <c r="C916">
        <v>207706</v>
      </c>
      <c r="D916" t="s">
        <v>58</v>
      </c>
      <c r="E916" s="10">
        <v>44098</v>
      </c>
      <c r="F916" t="s">
        <v>23</v>
      </c>
      <c r="G916" s="3" t="s">
        <v>73</v>
      </c>
      <c r="H916" t="s">
        <v>37</v>
      </c>
      <c r="O916">
        <v>2</v>
      </c>
      <c r="P916">
        <v>13</v>
      </c>
      <c r="Q916">
        <v>8</v>
      </c>
      <c r="R916">
        <v>7</v>
      </c>
      <c r="T916" s="13">
        <f t="shared" si="16"/>
        <v>30</v>
      </c>
      <c r="U916" t="s">
        <v>26</v>
      </c>
    </row>
    <row r="917" spans="1:22" x14ac:dyDescent="0.3">
      <c r="A917">
        <v>15</v>
      </c>
      <c r="B917">
        <v>3</v>
      </c>
      <c r="C917">
        <v>207706</v>
      </c>
      <c r="D917" t="s">
        <v>58</v>
      </c>
      <c r="E917" s="10">
        <v>44098</v>
      </c>
      <c r="F917" t="s">
        <v>23</v>
      </c>
      <c r="G917" s="3" t="s">
        <v>73</v>
      </c>
      <c r="H917" t="s">
        <v>33</v>
      </c>
      <c r="R917">
        <v>1</v>
      </c>
      <c r="T917" s="13">
        <f t="shared" si="16"/>
        <v>1</v>
      </c>
      <c r="U917" t="s">
        <v>26</v>
      </c>
    </row>
    <row r="918" spans="1:22" x14ac:dyDescent="0.3">
      <c r="A918">
        <v>15</v>
      </c>
      <c r="B918">
        <v>3</v>
      </c>
      <c r="C918">
        <v>207706</v>
      </c>
      <c r="D918" t="s">
        <v>58</v>
      </c>
      <c r="E918" s="10">
        <v>44098</v>
      </c>
      <c r="F918" t="s">
        <v>23</v>
      </c>
      <c r="G918" s="3" t="s">
        <v>73</v>
      </c>
      <c r="H918" t="s">
        <v>30</v>
      </c>
      <c r="I918">
        <v>11</v>
      </c>
      <c r="J918">
        <v>5</v>
      </c>
      <c r="T918" s="13">
        <f t="shared" si="16"/>
        <v>16</v>
      </c>
      <c r="U918" t="s">
        <v>26</v>
      </c>
    </row>
    <row r="919" spans="1:22" x14ac:dyDescent="0.3">
      <c r="A919">
        <v>15</v>
      </c>
      <c r="B919">
        <v>3</v>
      </c>
      <c r="C919">
        <v>207706</v>
      </c>
      <c r="D919" t="s">
        <v>58</v>
      </c>
      <c r="E919" s="10">
        <v>44098</v>
      </c>
      <c r="F919" t="s">
        <v>23</v>
      </c>
      <c r="G919" s="3" t="s">
        <v>73</v>
      </c>
      <c r="H919" t="s">
        <v>42</v>
      </c>
      <c r="S919">
        <v>1</v>
      </c>
      <c r="T919" s="13">
        <f t="shared" si="16"/>
        <v>1</v>
      </c>
      <c r="U919" t="s">
        <v>26</v>
      </c>
    </row>
    <row r="920" spans="1:22" x14ac:dyDescent="0.3">
      <c r="A920">
        <v>15</v>
      </c>
      <c r="B920">
        <v>3</v>
      </c>
      <c r="C920">
        <v>207706</v>
      </c>
      <c r="D920" t="s">
        <v>58</v>
      </c>
      <c r="E920" s="10">
        <v>44098</v>
      </c>
      <c r="F920" t="s">
        <v>23</v>
      </c>
      <c r="G920" s="3" t="s">
        <v>73</v>
      </c>
      <c r="H920" t="s">
        <v>45</v>
      </c>
      <c r="K920">
        <v>2</v>
      </c>
      <c r="T920" s="13">
        <f t="shared" si="16"/>
        <v>2</v>
      </c>
      <c r="U920" t="s">
        <v>26</v>
      </c>
    </row>
    <row r="921" spans="1:22" x14ac:dyDescent="0.3">
      <c r="A921">
        <v>15</v>
      </c>
      <c r="B921">
        <v>3</v>
      </c>
      <c r="C921">
        <v>207706</v>
      </c>
      <c r="D921" t="s">
        <v>58</v>
      </c>
      <c r="E921" s="10">
        <v>44098</v>
      </c>
      <c r="F921" t="s">
        <v>23</v>
      </c>
      <c r="G921" s="3" t="s">
        <v>73</v>
      </c>
      <c r="H921" t="s">
        <v>46</v>
      </c>
      <c r="Q921">
        <v>5</v>
      </c>
      <c r="T921" s="13">
        <f t="shared" si="16"/>
        <v>5</v>
      </c>
      <c r="U921" t="s">
        <v>26</v>
      </c>
    </row>
    <row r="922" spans="1:22" x14ac:dyDescent="0.3">
      <c r="A922">
        <v>15</v>
      </c>
      <c r="B922">
        <v>3</v>
      </c>
      <c r="C922">
        <v>207706</v>
      </c>
      <c r="D922" t="s">
        <v>58</v>
      </c>
      <c r="E922" s="10">
        <v>44098</v>
      </c>
      <c r="F922" t="s">
        <v>23</v>
      </c>
      <c r="G922" s="3" t="s">
        <v>73</v>
      </c>
      <c r="H922" t="s">
        <v>74</v>
      </c>
      <c r="Q922">
        <v>1</v>
      </c>
      <c r="T922" s="13">
        <f t="shared" si="16"/>
        <v>1</v>
      </c>
      <c r="U922" t="s">
        <v>26</v>
      </c>
    </row>
    <row r="923" spans="1:22" s="5" customFormat="1" ht="16.2" thickBot="1" x14ac:dyDescent="0.35">
      <c r="A923" s="5">
        <v>15</v>
      </c>
      <c r="B923" s="5">
        <v>3</v>
      </c>
      <c r="C923" s="5">
        <v>207706</v>
      </c>
      <c r="D923" s="5" t="s">
        <v>58</v>
      </c>
      <c r="E923" s="11">
        <v>44098</v>
      </c>
      <c r="F923" s="5" t="s">
        <v>23</v>
      </c>
      <c r="G923" s="6" t="s">
        <v>73</v>
      </c>
      <c r="H923" s="5" t="s">
        <v>43</v>
      </c>
      <c r="K923" s="5">
        <v>2</v>
      </c>
      <c r="Q923" s="5">
        <v>30</v>
      </c>
      <c r="R923" s="5">
        <v>1</v>
      </c>
      <c r="T923" s="12">
        <f t="shared" si="16"/>
        <v>33</v>
      </c>
      <c r="U923" s="5" t="s">
        <v>26</v>
      </c>
      <c r="V923" s="14"/>
    </row>
    <row r="924" spans="1:22" x14ac:dyDescent="0.3">
      <c r="A924">
        <v>15</v>
      </c>
      <c r="B924">
        <v>4</v>
      </c>
      <c r="C924">
        <v>207707</v>
      </c>
      <c r="D924" t="s">
        <v>58</v>
      </c>
      <c r="E924" s="10">
        <v>44098</v>
      </c>
      <c r="F924" t="s">
        <v>23</v>
      </c>
      <c r="G924" s="3" t="s">
        <v>72</v>
      </c>
      <c r="H924" t="s">
        <v>186</v>
      </c>
      <c r="O924">
        <v>1</v>
      </c>
      <c r="T924" s="13">
        <f t="shared" si="16"/>
        <v>1</v>
      </c>
      <c r="U924" t="s">
        <v>26</v>
      </c>
    </row>
    <row r="925" spans="1:22" x14ac:dyDescent="0.3">
      <c r="A925">
        <v>15</v>
      </c>
      <c r="B925">
        <v>4</v>
      </c>
      <c r="C925">
        <v>207707</v>
      </c>
      <c r="D925" t="s">
        <v>58</v>
      </c>
      <c r="E925" s="10">
        <v>44098</v>
      </c>
      <c r="F925" t="s">
        <v>23</v>
      </c>
      <c r="G925" s="3" t="s">
        <v>72</v>
      </c>
      <c r="H925" t="s">
        <v>25</v>
      </c>
      <c r="N925">
        <v>2</v>
      </c>
      <c r="O925">
        <v>29</v>
      </c>
      <c r="P925">
        <v>53</v>
      </c>
      <c r="Q925">
        <v>1</v>
      </c>
      <c r="T925" s="13">
        <f t="shared" si="16"/>
        <v>85</v>
      </c>
      <c r="U925" t="s">
        <v>26</v>
      </c>
    </row>
    <row r="926" spans="1:22" x14ac:dyDescent="0.3">
      <c r="A926">
        <v>15</v>
      </c>
      <c r="B926">
        <v>4</v>
      </c>
      <c r="C926">
        <v>207707</v>
      </c>
      <c r="D926" t="s">
        <v>58</v>
      </c>
      <c r="E926" s="10">
        <v>44098</v>
      </c>
      <c r="F926" t="s">
        <v>23</v>
      </c>
      <c r="G926" s="3" t="s">
        <v>73</v>
      </c>
      <c r="H926" t="s">
        <v>30</v>
      </c>
      <c r="I926">
        <v>12</v>
      </c>
      <c r="J926">
        <v>14</v>
      </c>
      <c r="T926" s="13">
        <f t="shared" si="16"/>
        <v>26</v>
      </c>
      <c r="U926" t="s">
        <v>26</v>
      </c>
    </row>
    <row r="927" spans="1:22" x14ac:dyDescent="0.3">
      <c r="A927">
        <v>15</v>
      </c>
      <c r="B927">
        <v>4</v>
      </c>
      <c r="C927">
        <v>207707</v>
      </c>
      <c r="D927" t="s">
        <v>58</v>
      </c>
      <c r="E927" s="10">
        <v>44098</v>
      </c>
      <c r="F927" t="s">
        <v>23</v>
      </c>
      <c r="G927" s="3" t="s">
        <v>73</v>
      </c>
      <c r="H927" t="s">
        <v>38</v>
      </c>
      <c r="P927">
        <v>33</v>
      </c>
      <c r="Q927">
        <v>43</v>
      </c>
      <c r="R927">
        <v>33</v>
      </c>
      <c r="T927" s="13">
        <f t="shared" si="16"/>
        <v>109</v>
      </c>
      <c r="U927" t="s">
        <v>26</v>
      </c>
    </row>
    <row r="928" spans="1:22" x14ac:dyDescent="0.3">
      <c r="A928">
        <v>15</v>
      </c>
      <c r="B928">
        <v>4</v>
      </c>
      <c r="C928">
        <v>207707</v>
      </c>
      <c r="D928" t="s">
        <v>58</v>
      </c>
      <c r="E928" s="10">
        <v>44098</v>
      </c>
      <c r="F928" t="s">
        <v>23</v>
      </c>
      <c r="G928" s="3" t="s">
        <v>73</v>
      </c>
      <c r="H928" t="s">
        <v>31</v>
      </c>
      <c r="O928">
        <v>1</v>
      </c>
      <c r="P928">
        <v>1</v>
      </c>
      <c r="Q928">
        <v>1</v>
      </c>
      <c r="T928" s="13">
        <f t="shared" si="16"/>
        <v>3</v>
      </c>
      <c r="U928" t="s">
        <v>26</v>
      </c>
    </row>
    <row r="929" spans="1:22" x14ac:dyDescent="0.3">
      <c r="A929">
        <v>15</v>
      </c>
      <c r="B929">
        <v>4</v>
      </c>
      <c r="C929">
        <v>207707</v>
      </c>
      <c r="D929" t="s">
        <v>58</v>
      </c>
      <c r="E929" s="10">
        <v>44098</v>
      </c>
      <c r="F929" t="s">
        <v>23</v>
      </c>
      <c r="G929" s="3" t="s">
        <v>73</v>
      </c>
      <c r="H929" t="s">
        <v>37</v>
      </c>
      <c r="P929">
        <v>7</v>
      </c>
      <c r="Q929">
        <v>29</v>
      </c>
      <c r="R929">
        <v>2</v>
      </c>
      <c r="T929" s="13">
        <f t="shared" si="16"/>
        <v>38</v>
      </c>
      <c r="U929" t="s">
        <v>26</v>
      </c>
    </row>
    <row r="930" spans="1:22" x14ac:dyDescent="0.3">
      <c r="A930">
        <v>15</v>
      </c>
      <c r="B930">
        <v>4</v>
      </c>
      <c r="C930">
        <v>207707</v>
      </c>
      <c r="D930" t="s">
        <v>58</v>
      </c>
      <c r="E930" s="10">
        <v>44098</v>
      </c>
      <c r="F930" t="s">
        <v>23</v>
      </c>
      <c r="G930" s="3" t="s">
        <v>73</v>
      </c>
      <c r="H930" t="s">
        <v>66</v>
      </c>
      <c r="O930">
        <v>6</v>
      </c>
      <c r="P930">
        <v>3</v>
      </c>
      <c r="T930" s="13">
        <f t="shared" si="16"/>
        <v>9</v>
      </c>
      <c r="U930" t="s">
        <v>26</v>
      </c>
    </row>
    <row r="931" spans="1:22" x14ac:dyDescent="0.3">
      <c r="A931">
        <v>15</v>
      </c>
      <c r="B931">
        <v>4</v>
      </c>
      <c r="C931">
        <v>207707</v>
      </c>
      <c r="D931" t="s">
        <v>58</v>
      </c>
      <c r="E931" s="10">
        <v>44098</v>
      </c>
      <c r="F931" t="s">
        <v>23</v>
      </c>
      <c r="G931" s="3" t="s">
        <v>73</v>
      </c>
      <c r="H931" t="s">
        <v>43</v>
      </c>
      <c r="Q931">
        <v>1</v>
      </c>
      <c r="T931" s="13">
        <f t="shared" si="16"/>
        <v>1</v>
      </c>
      <c r="U931" t="s">
        <v>26</v>
      </c>
    </row>
    <row r="932" spans="1:22" x14ac:dyDescent="0.3">
      <c r="A932">
        <v>15</v>
      </c>
      <c r="B932">
        <v>4</v>
      </c>
      <c r="C932">
        <v>207707</v>
      </c>
      <c r="D932" t="s">
        <v>58</v>
      </c>
      <c r="E932" s="10">
        <v>44098</v>
      </c>
      <c r="F932" t="s">
        <v>23</v>
      </c>
      <c r="G932" s="3" t="s">
        <v>73</v>
      </c>
      <c r="H932" t="s">
        <v>41</v>
      </c>
      <c r="S932">
        <v>4</v>
      </c>
      <c r="T932" s="13">
        <f t="shared" si="16"/>
        <v>4</v>
      </c>
      <c r="U932" t="s">
        <v>26</v>
      </c>
    </row>
    <row r="933" spans="1:22" x14ac:dyDescent="0.3">
      <c r="A933">
        <v>15</v>
      </c>
      <c r="B933">
        <v>4</v>
      </c>
      <c r="C933">
        <v>207707</v>
      </c>
      <c r="D933" t="s">
        <v>58</v>
      </c>
      <c r="E933" s="10">
        <v>44098</v>
      </c>
      <c r="F933" t="s">
        <v>23</v>
      </c>
      <c r="G933" s="3" t="s">
        <v>73</v>
      </c>
      <c r="H933" t="s">
        <v>51</v>
      </c>
      <c r="S933">
        <v>3</v>
      </c>
      <c r="T933" s="13">
        <f t="shared" si="16"/>
        <v>3</v>
      </c>
      <c r="U933" t="s">
        <v>26</v>
      </c>
    </row>
    <row r="934" spans="1:22" x14ac:dyDescent="0.3">
      <c r="A934">
        <v>15</v>
      </c>
      <c r="B934">
        <v>4</v>
      </c>
      <c r="C934">
        <v>207707</v>
      </c>
      <c r="D934" t="s">
        <v>58</v>
      </c>
      <c r="E934" s="10">
        <v>44098</v>
      </c>
      <c r="F934" t="s">
        <v>23</v>
      </c>
      <c r="G934" s="3" t="s">
        <v>73</v>
      </c>
      <c r="H934" t="s">
        <v>46</v>
      </c>
      <c r="Q934">
        <v>13</v>
      </c>
      <c r="T934" s="13">
        <f t="shared" si="16"/>
        <v>13</v>
      </c>
      <c r="U934" t="s">
        <v>26</v>
      </c>
    </row>
    <row r="935" spans="1:22" s="5" customFormat="1" ht="16.2" thickBot="1" x14ac:dyDescent="0.35">
      <c r="A935" s="5">
        <v>15</v>
      </c>
      <c r="B935" s="5">
        <v>4</v>
      </c>
      <c r="C935" s="5">
        <v>207707</v>
      </c>
      <c r="D935" s="5" t="s">
        <v>58</v>
      </c>
      <c r="E935" s="11">
        <v>44098</v>
      </c>
      <c r="F935" s="5" t="s">
        <v>23</v>
      </c>
      <c r="G935" s="6" t="s">
        <v>73</v>
      </c>
      <c r="H935" s="5" t="s">
        <v>45</v>
      </c>
      <c r="K935" s="5">
        <v>3</v>
      </c>
      <c r="T935" s="12">
        <f t="shared" si="16"/>
        <v>3</v>
      </c>
      <c r="U935" s="5" t="s">
        <v>26</v>
      </c>
      <c r="V935" s="14"/>
    </row>
    <row r="936" spans="1:22" x14ac:dyDescent="0.3">
      <c r="A936">
        <v>15</v>
      </c>
      <c r="B936">
        <v>5</v>
      </c>
      <c r="C936">
        <v>207708</v>
      </c>
      <c r="D936" t="s">
        <v>58</v>
      </c>
      <c r="E936" s="10">
        <v>44098</v>
      </c>
      <c r="F936" t="s">
        <v>23</v>
      </c>
      <c r="G936" s="3" t="s">
        <v>87</v>
      </c>
      <c r="H936" t="s">
        <v>25</v>
      </c>
      <c r="M936">
        <v>1</v>
      </c>
      <c r="N936">
        <v>9</v>
      </c>
      <c r="O936">
        <v>69</v>
      </c>
      <c r="P936">
        <v>29</v>
      </c>
      <c r="T936" s="13">
        <f t="shared" si="16"/>
        <v>108</v>
      </c>
      <c r="U936" t="s">
        <v>26</v>
      </c>
    </row>
    <row r="937" spans="1:22" x14ac:dyDescent="0.3">
      <c r="A937">
        <v>15</v>
      </c>
      <c r="B937">
        <v>5</v>
      </c>
      <c r="C937">
        <v>207708</v>
      </c>
      <c r="D937" t="s">
        <v>58</v>
      </c>
      <c r="E937" s="10">
        <v>44098</v>
      </c>
      <c r="F937" t="s">
        <v>23</v>
      </c>
      <c r="G937" s="3" t="s">
        <v>87</v>
      </c>
      <c r="H937" t="s">
        <v>27</v>
      </c>
      <c r="M937">
        <v>1</v>
      </c>
      <c r="T937" s="13">
        <f t="shared" si="16"/>
        <v>1</v>
      </c>
      <c r="U937" t="s">
        <v>26</v>
      </c>
    </row>
    <row r="938" spans="1:22" x14ac:dyDescent="0.3">
      <c r="A938">
        <v>15</v>
      </c>
      <c r="B938">
        <v>5</v>
      </c>
      <c r="C938">
        <v>207708</v>
      </c>
      <c r="D938" t="s">
        <v>58</v>
      </c>
      <c r="E938" s="10">
        <v>44098</v>
      </c>
      <c r="F938" t="s">
        <v>23</v>
      </c>
      <c r="G938" s="3" t="s">
        <v>99</v>
      </c>
      <c r="H938" t="s">
        <v>30</v>
      </c>
      <c r="I938">
        <v>12</v>
      </c>
      <c r="J938">
        <v>19</v>
      </c>
      <c r="T938" s="13">
        <f t="shared" si="16"/>
        <v>31</v>
      </c>
      <c r="U938" t="s">
        <v>26</v>
      </c>
    </row>
    <row r="939" spans="1:22" x14ac:dyDescent="0.3">
      <c r="A939">
        <v>15</v>
      </c>
      <c r="B939">
        <v>5</v>
      </c>
      <c r="C939">
        <v>207708</v>
      </c>
      <c r="D939" t="s">
        <v>58</v>
      </c>
      <c r="E939" s="10">
        <v>44098</v>
      </c>
      <c r="F939" t="s">
        <v>23</v>
      </c>
      <c r="G939" s="3" t="s">
        <v>99</v>
      </c>
      <c r="H939" t="s">
        <v>38</v>
      </c>
      <c r="O939">
        <v>41</v>
      </c>
      <c r="P939">
        <v>21</v>
      </c>
      <c r="Q939">
        <v>6</v>
      </c>
      <c r="R939">
        <v>7</v>
      </c>
      <c r="T939" s="13">
        <f t="shared" si="16"/>
        <v>75</v>
      </c>
      <c r="U939" t="s">
        <v>26</v>
      </c>
    </row>
    <row r="940" spans="1:22" x14ac:dyDescent="0.3">
      <c r="A940">
        <v>15</v>
      </c>
      <c r="B940">
        <v>5</v>
      </c>
      <c r="C940">
        <v>207708</v>
      </c>
      <c r="D940" t="s">
        <v>58</v>
      </c>
      <c r="E940" s="10">
        <v>44098</v>
      </c>
      <c r="F940" t="s">
        <v>23</v>
      </c>
      <c r="G940" s="3" t="s">
        <v>99</v>
      </c>
      <c r="H940" t="s">
        <v>37</v>
      </c>
      <c r="O940">
        <v>5</v>
      </c>
      <c r="P940">
        <v>20</v>
      </c>
      <c r="Q940">
        <v>10</v>
      </c>
      <c r="R940">
        <v>10</v>
      </c>
      <c r="T940" s="13">
        <f t="shared" si="16"/>
        <v>45</v>
      </c>
      <c r="U940" t="s">
        <v>26</v>
      </c>
    </row>
    <row r="941" spans="1:22" x14ac:dyDescent="0.3">
      <c r="A941">
        <v>15</v>
      </c>
      <c r="B941">
        <v>5</v>
      </c>
      <c r="C941">
        <v>207708</v>
      </c>
      <c r="D941" t="s">
        <v>58</v>
      </c>
      <c r="E941" s="10">
        <v>44098</v>
      </c>
      <c r="F941" t="s">
        <v>23</v>
      </c>
      <c r="G941" s="3" t="s">
        <v>99</v>
      </c>
      <c r="H941" t="s">
        <v>66</v>
      </c>
      <c r="O941">
        <v>1</v>
      </c>
      <c r="T941" s="13">
        <f t="shared" si="16"/>
        <v>1</v>
      </c>
      <c r="U941" t="s">
        <v>26</v>
      </c>
    </row>
    <row r="942" spans="1:22" x14ac:dyDescent="0.3">
      <c r="A942">
        <v>15</v>
      </c>
      <c r="B942">
        <v>5</v>
      </c>
      <c r="C942">
        <v>207708</v>
      </c>
      <c r="D942" t="s">
        <v>58</v>
      </c>
      <c r="E942" s="10">
        <v>44098</v>
      </c>
      <c r="F942" t="s">
        <v>23</v>
      </c>
      <c r="G942" s="3" t="s">
        <v>99</v>
      </c>
      <c r="H942" t="s">
        <v>31</v>
      </c>
      <c r="P942">
        <v>3</v>
      </c>
      <c r="Q942">
        <v>2</v>
      </c>
      <c r="R942">
        <v>1</v>
      </c>
      <c r="T942" s="13">
        <f t="shared" si="16"/>
        <v>6</v>
      </c>
      <c r="U942" t="s">
        <v>26</v>
      </c>
    </row>
    <row r="943" spans="1:22" x14ac:dyDescent="0.3">
      <c r="A943">
        <v>15</v>
      </c>
      <c r="B943">
        <v>5</v>
      </c>
      <c r="C943">
        <v>207708</v>
      </c>
      <c r="D943" t="s">
        <v>58</v>
      </c>
      <c r="E943" s="10">
        <v>44098</v>
      </c>
      <c r="F943" t="s">
        <v>23</v>
      </c>
      <c r="G943" s="3" t="s">
        <v>99</v>
      </c>
      <c r="H943" t="s">
        <v>41</v>
      </c>
      <c r="S943">
        <v>5</v>
      </c>
      <c r="T943" s="13">
        <f t="shared" si="16"/>
        <v>5</v>
      </c>
      <c r="U943" t="s">
        <v>26</v>
      </c>
    </row>
    <row r="944" spans="1:22" x14ac:dyDescent="0.3">
      <c r="A944">
        <v>15</v>
      </c>
      <c r="B944">
        <v>5</v>
      </c>
      <c r="C944">
        <v>207708</v>
      </c>
      <c r="D944" t="s">
        <v>58</v>
      </c>
      <c r="E944" s="10">
        <v>44098</v>
      </c>
      <c r="F944" t="s">
        <v>23</v>
      </c>
      <c r="G944" s="3" t="s">
        <v>99</v>
      </c>
      <c r="H944" t="s">
        <v>56</v>
      </c>
      <c r="S944">
        <v>2</v>
      </c>
      <c r="T944" s="13">
        <f t="shared" si="16"/>
        <v>2</v>
      </c>
      <c r="U944" t="s">
        <v>26</v>
      </c>
    </row>
    <row r="945" spans="1:22" x14ac:dyDescent="0.3">
      <c r="A945">
        <v>15</v>
      </c>
      <c r="B945">
        <v>5</v>
      </c>
      <c r="C945">
        <v>207708</v>
      </c>
      <c r="D945" t="s">
        <v>58</v>
      </c>
      <c r="E945" s="10">
        <v>44098</v>
      </c>
      <c r="F945" t="s">
        <v>23</v>
      </c>
      <c r="G945" s="3" t="s">
        <v>99</v>
      </c>
      <c r="H945" t="s">
        <v>46</v>
      </c>
      <c r="Q945">
        <v>11</v>
      </c>
      <c r="T945" s="13">
        <f t="shared" si="16"/>
        <v>11</v>
      </c>
      <c r="U945" t="s">
        <v>26</v>
      </c>
    </row>
    <row r="946" spans="1:22" s="5" customFormat="1" ht="16.2" thickBot="1" x14ac:dyDescent="0.35">
      <c r="A946" s="5">
        <v>15</v>
      </c>
      <c r="B946" s="5">
        <v>5</v>
      </c>
      <c r="C946" s="5">
        <v>207708</v>
      </c>
      <c r="D946" s="5" t="s">
        <v>58</v>
      </c>
      <c r="E946" s="11">
        <v>44098</v>
      </c>
      <c r="F946" s="5" t="s">
        <v>23</v>
      </c>
      <c r="G946" s="6" t="s">
        <v>99</v>
      </c>
      <c r="H946" s="5" t="s">
        <v>45</v>
      </c>
      <c r="K946" s="5">
        <v>12</v>
      </c>
      <c r="T946" s="12">
        <f t="shared" si="16"/>
        <v>12</v>
      </c>
      <c r="U946" s="5" t="s">
        <v>26</v>
      </c>
      <c r="V946" s="14"/>
    </row>
    <row r="947" spans="1:22" x14ac:dyDescent="0.3">
      <c r="A947">
        <v>16</v>
      </c>
      <c r="B947">
        <v>1</v>
      </c>
      <c r="C947">
        <v>207709</v>
      </c>
      <c r="D947" t="s">
        <v>58</v>
      </c>
      <c r="E947" s="10">
        <v>44098</v>
      </c>
      <c r="F947" t="s">
        <v>23</v>
      </c>
      <c r="G947" s="3" t="s">
        <v>52</v>
      </c>
      <c r="H947" t="s">
        <v>60</v>
      </c>
      <c r="S947">
        <v>1</v>
      </c>
      <c r="T947" s="13">
        <f t="shared" si="16"/>
        <v>1</v>
      </c>
      <c r="U947" t="s">
        <v>26</v>
      </c>
    </row>
    <row r="948" spans="1:22" x14ac:dyDescent="0.3">
      <c r="A948">
        <v>16</v>
      </c>
      <c r="B948">
        <v>1</v>
      </c>
      <c r="C948">
        <v>207709</v>
      </c>
      <c r="D948" t="s">
        <v>58</v>
      </c>
      <c r="E948" s="10">
        <v>44098</v>
      </c>
      <c r="F948" t="s">
        <v>23</v>
      </c>
      <c r="G948" s="3" t="s">
        <v>52</v>
      </c>
      <c r="H948" t="s">
        <v>274</v>
      </c>
      <c r="S948">
        <v>2</v>
      </c>
      <c r="T948" s="13">
        <f t="shared" si="16"/>
        <v>2</v>
      </c>
      <c r="U948" t="s">
        <v>26</v>
      </c>
    </row>
    <row r="949" spans="1:22" x14ac:dyDescent="0.3">
      <c r="A949">
        <v>16</v>
      </c>
      <c r="B949">
        <v>1</v>
      </c>
      <c r="C949">
        <v>207709</v>
      </c>
      <c r="D949" t="s">
        <v>58</v>
      </c>
      <c r="E949" s="10">
        <v>44098</v>
      </c>
      <c r="F949" t="s">
        <v>23</v>
      </c>
      <c r="G949" s="3" t="s">
        <v>52</v>
      </c>
      <c r="H949" t="s">
        <v>46</v>
      </c>
      <c r="Q949">
        <v>2</v>
      </c>
      <c r="T949" s="13">
        <f t="shared" ref="T949:T1011" si="17">SUM(I949:S949)</f>
        <v>2</v>
      </c>
      <c r="U949" t="s">
        <v>26</v>
      </c>
    </row>
    <row r="950" spans="1:22" x14ac:dyDescent="0.3">
      <c r="A950">
        <v>16</v>
      </c>
      <c r="B950">
        <v>1</v>
      </c>
      <c r="C950">
        <v>207709</v>
      </c>
      <c r="D950" t="s">
        <v>58</v>
      </c>
      <c r="E950" s="10">
        <v>44098</v>
      </c>
      <c r="F950" t="s">
        <v>23</v>
      </c>
      <c r="G950" s="3" t="s">
        <v>52</v>
      </c>
      <c r="H950" t="s">
        <v>25</v>
      </c>
      <c r="O950">
        <v>1</v>
      </c>
      <c r="P950">
        <v>2</v>
      </c>
      <c r="T950" s="13">
        <f t="shared" si="17"/>
        <v>3</v>
      </c>
      <c r="U950" t="s">
        <v>26</v>
      </c>
    </row>
    <row r="951" spans="1:22" x14ac:dyDescent="0.3">
      <c r="A951">
        <v>16</v>
      </c>
      <c r="B951">
        <v>1</v>
      </c>
      <c r="C951">
        <v>207709</v>
      </c>
      <c r="D951" t="s">
        <v>58</v>
      </c>
      <c r="E951" s="10">
        <v>44098</v>
      </c>
      <c r="F951" t="s">
        <v>23</v>
      </c>
      <c r="G951" s="3" t="s">
        <v>28</v>
      </c>
      <c r="H951" t="s">
        <v>25</v>
      </c>
      <c r="O951">
        <v>15</v>
      </c>
      <c r="P951">
        <v>171</v>
      </c>
      <c r="Q951">
        <v>3</v>
      </c>
      <c r="T951" s="13">
        <f t="shared" si="17"/>
        <v>189</v>
      </c>
      <c r="U951" t="s">
        <v>26</v>
      </c>
    </row>
    <row r="952" spans="1:22" x14ac:dyDescent="0.3">
      <c r="A952">
        <v>16</v>
      </c>
      <c r="B952">
        <v>1</v>
      </c>
      <c r="C952">
        <v>207709</v>
      </c>
      <c r="D952" t="s">
        <v>58</v>
      </c>
      <c r="E952" s="10">
        <v>44098</v>
      </c>
      <c r="F952" t="s">
        <v>23</v>
      </c>
      <c r="G952" s="3" t="s">
        <v>28</v>
      </c>
      <c r="H952" t="s">
        <v>27</v>
      </c>
      <c r="O952">
        <v>1</v>
      </c>
      <c r="P952">
        <v>2</v>
      </c>
      <c r="T952" s="13">
        <f t="shared" si="17"/>
        <v>3</v>
      </c>
      <c r="U952" t="s">
        <v>26</v>
      </c>
    </row>
    <row r="953" spans="1:22" x14ac:dyDescent="0.3">
      <c r="A953">
        <v>16</v>
      </c>
      <c r="B953">
        <v>1</v>
      </c>
      <c r="C953">
        <v>207709</v>
      </c>
      <c r="D953" t="s">
        <v>58</v>
      </c>
      <c r="E953" s="10">
        <v>44098</v>
      </c>
      <c r="F953" t="s">
        <v>23</v>
      </c>
      <c r="G953" s="3" t="s">
        <v>28</v>
      </c>
      <c r="H953" t="s">
        <v>186</v>
      </c>
      <c r="O953">
        <v>1</v>
      </c>
      <c r="P953">
        <v>1</v>
      </c>
      <c r="T953" s="13">
        <f t="shared" si="17"/>
        <v>2</v>
      </c>
      <c r="U953" t="s">
        <v>26</v>
      </c>
    </row>
    <row r="954" spans="1:22" x14ac:dyDescent="0.3">
      <c r="A954">
        <v>16</v>
      </c>
      <c r="B954">
        <v>1</v>
      </c>
      <c r="C954">
        <v>207709</v>
      </c>
      <c r="D954" t="s">
        <v>58</v>
      </c>
      <c r="E954" s="10">
        <v>44098</v>
      </c>
      <c r="F954" t="s">
        <v>23</v>
      </c>
      <c r="G954" s="3" t="s">
        <v>28</v>
      </c>
      <c r="H954" t="s">
        <v>60</v>
      </c>
      <c r="S954">
        <v>30</v>
      </c>
      <c r="T954" s="13">
        <f t="shared" si="17"/>
        <v>30</v>
      </c>
      <c r="U954" t="s">
        <v>26</v>
      </c>
    </row>
    <row r="955" spans="1:22" x14ac:dyDescent="0.3">
      <c r="A955">
        <v>16</v>
      </c>
      <c r="B955">
        <v>1</v>
      </c>
      <c r="C955">
        <v>207709</v>
      </c>
      <c r="D955" t="s">
        <v>58</v>
      </c>
      <c r="E955" s="10">
        <v>44098</v>
      </c>
      <c r="F955" t="s">
        <v>23</v>
      </c>
      <c r="G955" s="3" t="s">
        <v>28</v>
      </c>
      <c r="H955" t="s">
        <v>274</v>
      </c>
      <c r="S955">
        <v>2</v>
      </c>
      <c r="T955" s="13">
        <f t="shared" si="17"/>
        <v>2</v>
      </c>
      <c r="U955" t="s">
        <v>26</v>
      </c>
    </row>
    <row r="956" spans="1:22" x14ac:dyDescent="0.3">
      <c r="A956">
        <v>16</v>
      </c>
      <c r="B956">
        <v>1</v>
      </c>
      <c r="C956">
        <v>207709</v>
      </c>
      <c r="D956" t="s">
        <v>58</v>
      </c>
      <c r="E956" s="10">
        <v>44098</v>
      </c>
      <c r="F956" t="s">
        <v>23</v>
      </c>
      <c r="G956" s="3" t="s">
        <v>28</v>
      </c>
      <c r="H956" t="s">
        <v>65</v>
      </c>
      <c r="S956">
        <v>1</v>
      </c>
      <c r="T956" s="13">
        <f t="shared" si="17"/>
        <v>1</v>
      </c>
      <c r="U956" t="s">
        <v>26</v>
      </c>
    </row>
    <row r="957" spans="1:22" x14ac:dyDescent="0.3">
      <c r="A957">
        <v>16</v>
      </c>
      <c r="B957">
        <v>1</v>
      </c>
      <c r="C957">
        <v>207709</v>
      </c>
      <c r="D957" t="s">
        <v>58</v>
      </c>
      <c r="E957" s="10">
        <v>44098</v>
      </c>
      <c r="F957" t="s">
        <v>23</v>
      </c>
      <c r="G957" s="3" t="s">
        <v>28</v>
      </c>
      <c r="H957" t="s">
        <v>30</v>
      </c>
      <c r="I957">
        <v>7</v>
      </c>
      <c r="T957" s="13">
        <f t="shared" si="17"/>
        <v>7</v>
      </c>
      <c r="U957" t="s">
        <v>26</v>
      </c>
    </row>
    <row r="958" spans="1:22" x14ac:dyDescent="0.3">
      <c r="A958">
        <v>16</v>
      </c>
      <c r="B958">
        <v>1</v>
      </c>
      <c r="C958">
        <v>207709</v>
      </c>
      <c r="D958" t="s">
        <v>58</v>
      </c>
      <c r="E958" s="10">
        <v>44098</v>
      </c>
      <c r="F958" t="s">
        <v>23</v>
      </c>
      <c r="G958" s="3" t="s">
        <v>28</v>
      </c>
      <c r="H958" t="s">
        <v>62</v>
      </c>
      <c r="P958">
        <v>1</v>
      </c>
      <c r="Q958">
        <v>3</v>
      </c>
      <c r="T958" s="13">
        <f t="shared" si="17"/>
        <v>4</v>
      </c>
      <c r="U958" t="s">
        <v>26</v>
      </c>
    </row>
    <row r="959" spans="1:22" x14ac:dyDescent="0.3">
      <c r="A959">
        <v>16</v>
      </c>
      <c r="B959">
        <v>1</v>
      </c>
      <c r="C959">
        <v>207709</v>
      </c>
      <c r="D959" t="s">
        <v>58</v>
      </c>
      <c r="E959" s="10">
        <v>44098</v>
      </c>
      <c r="F959" t="s">
        <v>23</v>
      </c>
      <c r="G959" s="3" t="s">
        <v>28</v>
      </c>
      <c r="H959" t="s">
        <v>34</v>
      </c>
      <c r="Q959">
        <v>3</v>
      </c>
      <c r="R959">
        <v>2</v>
      </c>
      <c r="T959" s="13">
        <f t="shared" si="17"/>
        <v>5</v>
      </c>
      <c r="U959" t="s">
        <v>26</v>
      </c>
    </row>
    <row r="960" spans="1:22" x14ac:dyDescent="0.3">
      <c r="A960">
        <v>16</v>
      </c>
      <c r="B960">
        <v>1</v>
      </c>
      <c r="C960">
        <v>207709</v>
      </c>
      <c r="D960" t="s">
        <v>58</v>
      </c>
      <c r="E960" s="10">
        <v>44098</v>
      </c>
      <c r="F960" t="s">
        <v>23</v>
      </c>
      <c r="G960" s="3" t="s">
        <v>28</v>
      </c>
      <c r="H960" t="s">
        <v>67</v>
      </c>
      <c r="Q960">
        <v>2</v>
      </c>
      <c r="T960" s="13">
        <f t="shared" si="17"/>
        <v>2</v>
      </c>
      <c r="U960" t="s">
        <v>26</v>
      </c>
    </row>
    <row r="961" spans="1:22" x14ac:dyDescent="0.3">
      <c r="A961">
        <v>16</v>
      </c>
      <c r="B961">
        <v>1</v>
      </c>
      <c r="C961">
        <v>207709</v>
      </c>
      <c r="D961" t="s">
        <v>58</v>
      </c>
      <c r="E961" s="10">
        <v>44098</v>
      </c>
      <c r="F961" t="s">
        <v>23</v>
      </c>
      <c r="G961" s="3" t="s">
        <v>28</v>
      </c>
      <c r="H961" t="s">
        <v>38</v>
      </c>
      <c r="R961">
        <v>1</v>
      </c>
      <c r="T961" s="13">
        <f t="shared" si="17"/>
        <v>1</v>
      </c>
      <c r="U961" t="s">
        <v>26</v>
      </c>
    </row>
    <row r="962" spans="1:22" x14ac:dyDescent="0.3">
      <c r="A962">
        <v>16</v>
      </c>
      <c r="B962">
        <v>1</v>
      </c>
      <c r="C962">
        <v>207709</v>
      </c>
      <c r="D962" t="s">
        <v>58</v>
      </c>
      <c r="E962" s="10">
        <v>44098</v>
      </c>
      <c r="F962" t="s">
        <v>23</v>
      </c>
      <c r="G962" s="3" t="s">
        <v>28</v>
      </c>
      <c r="H962" t="s">
        <v>31</v>
      </c>
      <c r="O962">
        <v>1</v>
      </c>
      <c r="P962">
        <v>1</v>
      </c>
      <c r="Q962">
        <v>1</v>
      </c>
      <c r="R962">
        <v>1</v>
      </c>
      <c r="T962" s="13">
        <f t="shared" si="17"/>
        <v>4</v>
      </c>
      <c r="U962" t="s">
        <v>26</v>
      </c>
    </row>
    <row r="963" spans="1:22" x14ac:dyDescent="0.3">
      <c r="A963">
        <v>16</v>
      </c>
      <c r="B963">
        <v>1</v>
      </c>
      <c r="C963">
        <v>207709</v>
      </c>
      <c r="D963" t="s">
        <v>58</v>
      </c>
      <c r="E963" s="10">
        <v>44098</v>
      </c>
      <c r="F963" t="s">
        <v>23</v>
      </c>
      <c r="G963" s="3" t="s">
        <v>28</v>
      </c>
      <c r="H963" t="s">
        <v>50</v>
      </c>
      <c r="S963">
        <v>1</v>
      </c>
      <c r="T963" s="13">
        <f t="shared" si="17"/>
        <v>1</v>
      </c>
      <c r="U963" t="s">
        <v>26</v>
      </c>
    </row>
    <row r="964" spans="1:22" x14ac:dyDescent="0.3">
      <c r="A964">
        <v>16</v>
      </c>
      <c r="B964">
        <v>1</v>
      </c>
      <c r="C964">
        <v>207709</v>
      </c>
      <c r="D964" t="s">
        <v>58</v>
      </c>
      <c r="E964" s="10">
        <v>44098</v>
      </c>
      <c r="F964" t="s">
        <v>23</v>
      </c>
      <c r="G964" s="3" t="s">
        <v>28</v>
      </c>
      <c r="H964" t="s">
        <v>79</v>
      </c>
      <c r="S964">
        <v>3</v>
      </c>
      <c r="T964" s="13">
        <f t="shared" si="17"/>
        <v>3</v>
      </c>
      <c r="U964" t="s">
        <v>26</v>
      </c>
    </row>
    <row r="965" spans="1:22" x14ac:dyDescent="0.3">
      <c r="A965">
        <v>16</v>
      </c>
      <c r="B965">
        <v>1</v>
      </c>
      <c r="C965">
        <v>207709</v>
      </c>
      <c r="D965" t="s">
        <v>58</v>
      </c>
      <c r="E965" s="10">
        <v>44098</v>
      </c>
      <c r="F965" t="s">
        <v>23</v>
      </c>
      <c r="G965" s="3" t="s">
        <v>28</v>
      </c>
      <c r="H965" t="s">
        <v>51</v>
      </c>
      <c r="S965">
        <v>11</v>
      </c>
      <c r="T965" s="13">
        <f t="shared" si="17"/>
        <v>11</v>
      </c>
      <c r="U965" t="s">
        <v>26</v>
      </c>
    </row>
    <row r="966" spans="1:22" x14ac:dyDescent="0.3">
      <c r="A966">
        <v>16</v>
      </c>
      <c r="B966">
        <v>1</v>
      </c>
      <c r="C966">
        <v>207709</v>
      </c>
      <c r="D966" t="s">
        <v>58</v>
      </c>
      <c r="E966" s="10">
        <v>44098</v>
      </c>
      <c r="F966" t="s">
        <v>23</v>
      </c>
      <c r="G966" s="3" t="s">
        <v>28</v>
      </c>
      <c r="H966" t="s">
        <v>46</v>
      </c>
      <c r="Q966">
        <v>2</v>
      </c>
      <c r="T966" s="13">
        <f t="shared" si="17"/>
        <v>2</v>
      </c>
      <c r="U966" t="s">
        <v>26</v>
      </c>
    </row>
    <row r="967" spans="1:22" x14ac:dyDescent="0.3">
      <c r="A967">
        <v>16</v>
      </c>
      <c r="B967">
        <v>1</v>
      </c>
      <c r="C967">
        <v>207709</v>
      </c>
      <c r="D967" t="s">
        <v>58</v>
      </c>
      <c r="E967" s="10">
        <v>44098</v>
      </c>
      <c r="F967" t="s">
        <v>23</v>
      </c>
      <c r="G967" s="3" t="s">
        <v>28</v>
      </c>
      <c r="H967" t="s">
        <v>43</v>
      </c>
      <c r="K967">
        <v>2</v>
      </c>
      <c r="T967" s="13">
        <f t="shared" si="17"/>
        <v>2</v>
      </c>
      <c r="U967" t="s">
        <v>26</v>
      </c>
    </row>
    <row r="968" spans="1:22" x14ac:dyDescent="0.3">
      <c r="A968">
        <v>16</v>
      </c>
      <c r="B968">
        <v>1</v>
      </c>
      <c r="C968">
        <v>207709</v>
      </c>
      <c r="D968" t="s">
        <v>58</v>
      </c>
      <c r="E968" s="10">
        <v>44098</v>
      </c>
      <c r="F968" t="s">
        <v>23</v>
      </c>
      <c r="G968" s="3" t="s">
        <v>52</v>
      </c>
      <c r="H968" t="s">
        <v>37</v>
      </c>
      <c r="Q968">
        <v>1</v>
      </c>
      <c r="T968" s="13">
        <f t="shared" si="17"/>
        <v>1</v>
      </c>
      <c r="U968" t="s">
        <v>26</v>
      </c>
    </row>
    <row r="969" spans="1:22" x14ac:dyDescent="0.3">
      <c r="A969">
        <v>16</v>
      </c>
      <c r="B969">
        <v>1</v>
      </c>
      <c r="C969">
        <v>207709</v>
      </c>
      <c r="D969" t="s">
        <v>58</v>
      </c>
      <c r="E969" s="10">
        <v>44098</v>
      </c>
      <c r="F969" t="s">
        <v>23</v>
      </c>
      <c r="G969" s="3" t="s">
        <v>28</v>
      </c>
      <c r="H969" t="s">
        <v>180</v>
      </c>
      <c r="S969">
        <v>1</v>
      </c>
      <c r="T969" s="13">
        <f t="shared" si="17"/>
        <v>1</v>
      </c>
      <c r="U969" t="s">
        <v>26</v>
      </c>
    </row>
    <row r="970" spans="1:22" x14ac:dyDescent="0.3">
      <c r="A970">
        <v>16</v>
      </c>
      <c r="B970">
        <v>1</v>
      </c>
      <c r="C970">
        <v>207709</v>
      </c>
      <c r="D970" t="s">
        <v>58</v>
      </c>
      <c r="E970" s="10">
        <v>44098</v>
      </c>
      <c r="F970" t="s">
        <v>23</v>
      </c>
      <c r="G970" s="3" t="s">
        <v>52</v>
      </c>
      <c r="H970" t="s">
        <v>31</v>
      </c>
      <c r="Q970">
        <v>1</v>
      </c>
      <c r="T970" s="13">
        <f t="shared" si="17"/>
        <v>1</v>
      </c>
      <c r="U970" t="s">
        <v>26</v>
      </c>
    </row>
    <row r="971" spans="1:22" x14ac:dyDescent="0.3">
      <c r="A971">
        <v>16</v>
      </c>
      <c r="B971">
        <v>1</v>
      </c>
      <c r="C971">
        <v>207709</v>
      </c>
      <c r="D971" t="s">
        <v>58</v>
      </c>
      <c r="E971" s="10">
        <v>44098</v>
      </c>
      <c r="F971" t="s">
        <v>23</v>
      </c>
      <c r="G971" s="3" t="s">
        <v>52</v>
      </c>
      <c r="H971" t="s">
        <v>82</v>
      </c>
      <c r="I971" s="16"/>
      <c r="S971">
        <v>13</v>
      </c>
      <c r="T971" s="13">
        <f t="shared" si="17"/>
        <v>13</v>
      </c>
      <c r="U971" t="s">
        <v>53</v>
      </c>
    </row>
    <row r="972" spans="1:22" x14ac:dyDescent="0.3">
      <c r="A972">
        <v>16</v>
      </c>
      <c r="B972">
        <v>1</v>
      </c>
      <c r="C972">
        <v>207709</v>
      </c>
      <c r="D972" t="s">
        <v>58</v>
      </c>
      <c r="E972" s="10">
        <v>44098</v>
      </c>
      <c r="F972" t="s">
        <v>23</v>
      </c>
      <c r="G972" s="3" t="s">
        <v>52</v>
      </c>
      <c r="H972" t="s">
        <v>64</v>
      </c>
      <c r="S972">
        <v>2</v>
      </c>
      <c r="T972" s="13">
        <f t="shared" si="17"/>
        <v>2</v>
      </c>
      <c r="U972" t="s">
        <v>53</v>
      </c>
    </row>
    <row r="973" spans="1:22" x14ac:dyDescent="0.3">
      <c r="A973">
        <v>16</v>
      </c>
      <c r="B973">
        <v>1</v>
      </c>
      <c r="C973">
        <v>207709</v>
      </c>
      <c r="D973" t="s">
        <v>58</v>
      </c>
      <c r="E973" s="10">
        <v>44098</v>
      </c>
      <c r="F973" t="s">
        <v>23</v>
      </c>
      <c r="G973" s="3" t="s">
        <v>52</v>
      </c>
      <c r="H973" t="s">
        <v>238</v>
      </c>
      <c r="S973">
        <v>3</v>
      </c>
      <c r="T973" s="13">
        <f t="shared" si="17"/>
        <v>3</v>
      </c>
      <c r="U973" t="s">
        <v>53</v>
      </c>
    </row>
    <row r="974" spans="1:22" s="5" customFormat="1" ht="16.2" thickBot="1" x14ac:dyDescent="0.35">
      <c r="A974" s="5">
        <v>16</v>
      </c>
      <c r="B974" s="5">
        <v>1</v>
      </c>
      <c r="C974" s="5">
        <v>207709</v>
      </c>
      <c r="D974" s="5" t="s">
        <v>58</v>
      </c>
      <c r="E974" s="11">
        <v>44098</v>
      </c>
      <c r="F974" s="5" t="s">
        <v>23</v>
      </c>
      <c r="G974" s="6" t="s">
        <v>52</v>
      </c>
      <c r="H974" s="5" t="s">
        <v>180</v>
      </c>
      <c r="S974" s="5">
        <v>2</v>
      </c>
      <c r="T974" s="12">
        <f t="shared" si="17"/>
        <v>2</v>
      </c>
      <c r="U974" s="5" t="s">
        <v>53</v>
      </c>
      <c r="V974" s="14"/>
    </row>
    <row r="975" spans="1:22" x14ac:dyDescent="0.3">
      <c r="A975">
        <v>16</v>
      </c>
      <c r="B975">
        <v>2</v>
      </c>
      <c r="C975">
        <v>207710</v>
      </c>
      <c r="D975" t="s">
        <v>58</v>
      </c>
      <c r="E975" s="10">
        <v>44098</v>
      </c>
      <c r="F975" t="s">
        <v>23</v>
      </c>
      <c r="G975" s="3" t="s">
        <v>52</v>
      </c>
      <c r="H975" t="s">
        <v>37</v>
      </c>
      <c r="Q975">
        <v>1</v>
      </c>
      <c r="T975" s="13">
        <f t="shared" si="17"/>
        <v>1</v>
      </c>
      <c r="U975" t="s">
        <v>26</v>
      </c>
    </row>
    <row r="976" spans="1:22" x14ac:dyDescent="0.3">
      <c r="A976">
        <v>16</v>
      </c>
      <c r="B976">
        <v>2</v>
      </c>
      <c r="C976">
        <v>207710</v>
      </c>
      <c r="D976" t="s">
        <v>58</v>
      </c>
      <c r="E976" s="10">
        <v>44098</v>
      </c>
      <c r="F976" t="s">
        <v>23</v>
      </c>
      <c r="G976" s="3" t="s">
        <v>73</v>
      </c>
      <c r="H976" t="s">
        <v>25</v>
      </c>
      <c r="O976">
        <v>5</v>
      </c>
      <c r="P976">
        <v>144</v>
      </c>
      <c r="T976" s="13">
        <f t="shared" si="17"/>
        <v>149</v>
      </c>
      <c r="U976" t="s">
        <v>26</v>
      </c>
    </row>
    <row r="977" spans="1:21" x14ac:dyDescent="0.3">
      <c r="A977">
        <v>16</v>
      </c>
      <c r="B977">
        <v>2</v>
      </c>
      <c r="C977">
        <v>207710</v>
      </c>
      <c r="D977" t="s">
        <v>58</v>
      </c>
      <c r="E977" s="10">
        <v>44098</v>
      </c>
      <c r="F977" t="s">
        <v>23</v>
      </c>
      <c r="G977" s="3" t="s">
        <v>73</v>
      </c>
      <c r="H977" t="s">
        <v>27</v>
      </c>
      <c r="P977">
        <v>2</v>
      </c>
      <c r="T977" s="13">
        <f t="shared" si="17"/>
        <v>2</v>
      </c>
      <c r="U977" t="s">
        <v>26</v>
      </c>
    </row>
    <row r="978" spans="1:21" x14ac:dyDescent="0.3">
      <c r="A978">
        <v>16</v>
      </c>
      <c r="B978">
        <v>2</v>
      </c>
      <c r="C978">
        <v>207710</v>
      </c>
      <c r="D978" t="s">
        <v>58</v>
      </c>
      <c r="E978" s="10">
        <v>44098</v>
      </c>
      <c r="F978" t="s">
        <v>23</v>
      </c>
      <c r="G978" s="3" t="s">
        <v>73</v>
      </c>
      <c r="H978" t="s">
        <v>29</v>
      </c>
      <c r="S978">
        <v>1</v>
      </c>
      <c r="T978" s="13">
        <f t="shared" si="17"/>
        <v>1</v>
      </c>
      <c r="U978" t="s">
        <v>26</v>
      </c>
    </row>
    <row r="979" spans="1:21" x14ac:dyDescent="0.3">
      <c r="A979">
        <v>16</v>
      </c>
      <c r="B979">
        <v>2</v>
      </c>
      <c r="C979">
        <v>207710</v>
      </c>
      <c r="D979" t="s">
        <v>58</v>
      </c>
      <c r="E979" s="10">
        <v>44098</v>
      </c>
      <c r="F979" t="s">
        <v>23</v>
      </c>
      <c r="G979" s="3" t="s">
        <v>73</v>
      </c>
      <c r="H979" t="s">
        <v>274</v>
      </c>
      <c r="S979">
        <v>11</v>
      </c>
      <c r="T979" s="13">
        <f t="shared" si="17"/>
        <v>11</v>
      </c>
      <c r="U979" t="s">
        <v>26</v>
      </c>
    </row>
    <row r="980" spans="1:21" x14ac:dyDescent="0.3">
      <c r="A980">
        <v>16</v>
      </c>
      <c r="B980">
        <v>2</v>
      </c>
      <c r="C980">
        <v>207710</v>
      </c>
      <c r="D980" t="s">
        <v>58</v>
      </c>
      <c r="E980" s="10">
        <v>44098</v>
      </c>
      <c r="F980" t="s">
        <v>23</v>
      </c>
      <c r="G980" s="3" t="s">
        <v>73</v>
      </c>
      <c r="H980" t="s">
        <v>60</v>
      </c>
      <c r="S980">
        <v>46</v>
      </c>
      <c r="T980" s="13">
        <f t="shared" si="17"/>
        <v>46</v>
      </c>
      <c r="U980" t="s">
        <v>26</v>
      </c>
    </row>
    <row r="981" spans="1:21" x14ac:dyDescent="0.3">
      <c r="A981">
        <v>16</v>
      </c>
      <c r="B981">
        <v>2</v>
      </c>
      <c r="C981">
        <v>207710</v>
      </c>
      <c r="D981" t="s">
        <v>58</v>
      </c>
      <c r="E981" s="10">
        <v>44098</v>
      </c>
      <c r="F981" t="s">
        <v>23</v>
      </c>
      <c r="G981" s="3" t="s">
        <v>73</v>
      </c>
      <c r="H981" t="s">
        <v>30</v>
      </c>
      <c r="I981">
        <v>5</v>
      </c>
      <c r="J981">
        <v>15</v>
      </c>
      <c r="T981" s="13">
        <f t="shared" si="17"/>
        <v>20</v>
      </c>
      <c r="U981" t="s">
        <v>26</v>
      </c>
    </row>
    <row r="982" spans="1:21" x14ac:dyDescent="0.3">
      <c r="A982">
        <v>16</v>
      </c>
      <c r="B982">
        <v>2</v>
      </c>
      <c r="C982">
        <v>207710</v>
      </c>
      <c r="D982" t="s">
        <v>58</v>
      </c>
      <c r="E982" s="10">
        <v>44098</v>
      </c>
      <c r="F982" t="s">
        <v>23</v>
      </c>
      <c r="G982" s="3" t="s">
        <v>73</v>
      </c>
      <c r="H982" t="s">
        <v>34</v>
      </c>
      <c r="P982">
        <v>1</v>
      </c>
      <c r="Q982">
        <v>4</v>
      </c>
      <c r="R982">
        <v>1</v>
      </c>
      <c r="T982" s="13">
        <f t="shared" si="17"/>
        <v>6</v>
      </c>
      <c r="U982" t="s">
        <v>26</v>
      </c>
    </row>
    <row r="983" spans="1:21" x14ac:dyDescent="0.3">
      <c r="A983">
        <v>16</v>
      </c>
      <c r="B983">
        <v>2</v>
      </c>
      <c r="C983">
        <v>207710</v>
      </c>
      <c r="D983" t="s">
        <v>58</v>
      </c>
      <c r="E983" s="10">
        <v>44098</v>
      </c>
      <c r="F983" t="s">
        <v>23</v>
      </c>
      <c r="G983" s="3" t="s">
        <v>73</v>
      </c>
      <c r="H983" t="s">
        <v>37</v>
      </c>
      <c r="P983">
        <v>2</v>
      </c>
      <c r="Q983">
        <v>10</v>
      </c>
      <c r="R983">
        <v>2</v>
      </c>
      <c r="T983" s="13">
        <f t="shared" si="17"/>
        <v>14</v>
      </c>
      <c r="U983" t="s">
        <v>26</v>
      </c>
    </row>
    <row r="984" spans="1:21" x14ac:dyDescent="0.3">
      <c r="A984">
        <v>16</v>
      </c>
      <c r="B984">
        <v>2</v>
      </c>
      <c r="C984">
        <v>207710</v>
      </c>
      <c r="D984" t="s">
        <v>58</v>
      </c>
      <c r="E984" s="10">
        <v>44098</v>
      </c>
      <c r="F984" t="s">
        <v>23</v>
      </c>
      <c r="G984" s="3" t="s">
        <v>73</v>
      </c>
      <c r="H984" t="s">
        <v>31</v>
      </c>
      <c r="O984">
        <v>1</v>
      </c>
      <c r="P984">
        <v>3</v>
      </c>
      <c r="Q984">
        <v>1</v>
      </c>
      <c r="T984" s="13">
        <f t="shared" si="17"/>
        <v>5</v>
      </c>
      <c r="U984" t="s">
        <v>26</v>
      </c>
    </row>
    <row r="985" spans="1:21" x14ac:dyDescent="0.3">
      <c r="A985">
        <v>16</v>
      </c>
      <c r="B985">
        <v>2</v>
      </c>
      <c r="C985">
        <v>207710</v>
      </c>
      <c r="D985" t="s">
        <v>58</v>
      </c>
      <c r="E985" s="10">
        <v>44098</v>
      </c>
      <c r="F985" t="s">
        <v>23</v>
      </c>
      <c r="G985" s="3" t="s">
        <v>73</v>
      </c>
      <c r="H985" t="s">
        <v>38</v>
      </c>
      <c r="O985">
        <v>7</v>
      </c>
      <c r="P985">
        <v>3</v>
      </c>
      <c r="T985" s="13">
        <f t="shared" si="17"/>
        <v>10</v>
      </c>
      <c r="U985" t="s">
        <v>26</v>
      </c>
    </row>
    <row r="986" spans="1:21" x14ac:dyDescent="0.3">
      <c r="A986">
        <v>16</v>
      </c>
      <c r="B986">
        <v>2</v>
      </c>
      <c r="C986">
        <v>207710</v>
      </c>
      <c r="D986" t="s">
        <v>58</v>
      </c>
      <c r="E986" s="10">
        <v>44098</v>
      </c>
      <c r="F986" t="s">
        <v>23</v>
      </c>
      <c r="G986" s="3" t="s">
        <v>73</v>
      </c>
      <c r="H986" t="s">
        <v>46</v>
      </c>
      <c r="Q986">
        <v>2</v>
      </c>
      <c r="T986" s="13">
        <f t="shared" si="17"/>
        <v>2</v>
      </c>
      <c r="U986" t="s">
        <v>26</v>
      </c>
    </row>
    <row r="987" spans="1:21" x14ac:dyDescent="0.3">
      <c r="A987">
        <v>16</v>
      </c>
      <c r="B987">
        <v>2</v>
      </c>
      <c r="C987">
        <v>207710</v>
      </c>
      <c r="D987" t="s">
        <v>58</v>
      </c>
      <c r="E987" s="10">
        <v>44098</v>
      </c>
      <c r="F987" t="s">
        <v>23</v>
      </c>
      <c r="G987" s="3" t="s">
        <v>73</v>
      </c>
      <c r="H987" t="s">
        <v>45</v>
      </c>
      <c r="P987">
        <v>3</v>
      </c>
      <c r="T987" s="13">
        <f t="shared" si="17"/>
        <v>3</v>
      </c>
      <c r="U987" t="s">
        <v>26</v>
      </c>
    </row>
    <row r="988" spans="1:21" x14ac:dyDescent="0.3">
      <c r="A988">
        <v>16</v>
      </c>
      <c r="B988">
        <v>2</v>
      </c>
      <c r="C988">
        <v>207710</v>
      </c>
      <c r="D988" t="s">
        <v>58</v>
      </c>
      <c r="E988" s="10">
        <v>44098</v>
      </c>
      <c r="F988" t="s">
        <v>23</v>
      </c>
      <c r="G988" s="3" t="s">
        <v>73</v>
      </c>
      <c r="H988" t="s">
        <v>67</v>
      </c>
      <c r="P988">
        <v>2</v>
      </c>
      <c r="T988" s="13">
        <f t="shared" si="17"/>
        <v>2</v>
      </c>
      <c r="U988" t="s">
        <v>26</v>
      </c>
    </row>
    <row r="989" spans="1:21" x14ac:dyDescent="0.3">
      <c r="A989">
        <v>16</v>
      </c>
      <c r="B989">
        <v>2</v>
      </c>
      <c r="C989">
        <v>207710</v>
      </c>
      <c r="D989" t="s">
        <v>58</v>
      </c>
      <c r="E989" s="10">
        <v>44098</v>
      </c>
      <c r="F989" t="s">
        <v>23</v>
      </c>
      <c r="G989" s="3" t="s">
        <v>73</v>
      </c>
      <c r="H989" t="s">
        <v>51</v>
      </c>
      <c r="S989">
        <v>3</v>
      </c>
      <c r="T989" s="13">
        <f t="shared" si="17"/>
        <v>3</v>
      </c>
      <c r="U989" t="s">
        <v>26</v>
      </c>
    </row>
    <row r="990" spans="1:21" x14ac:dyDescent="0.3">
      <c r="A990">
        <v>16</v>
      </c>
      <c r="B990">
        <v>2</v>
      </c>
      <c r="C990">
        <v>207710</v>
      </c>
      <c r="D990" t="s">
        <v>58</v>
      </c>
      <c r="E990" s="10">
        <v>44098</v>
      </c>
      <c r="F990" t="s">
        <v>23</v>
      </c>
      <c r="G990" s="3" t="s">
        <v>73</v>
      </c>
      <c r="H990" t="s">
        <v>41</v>
      </c>
      <c r="S990">
        <v>4</v>
      </c>
      <c r="T990" s="13">
        <f t="shared" si="17"/>
        <v>4</v>
      </c>
      <c r="U990" t="s">
        <v>26</v>
      </c>
    </row>
    <row r="991" spans="1:21" x14ac:dyDescent="0.3">
      <c r="A991">
        <v>16</v>
      </c>
      <c r="B991">
        <v>2</v>
      </c>
      <c r="C991">
        <v>207710</v>
      </c>
      <c r="D991" t="s">
        <v>58</v>
      </c>
      <c r="E991" s="10">
        <v>44098</v>
      </c>
      <c r="F991" t="s">
        <v>23</v>
      </c>
      <c r="G991" s="3" t="s">
        <v>73</v>
      </c>
      <c r="H991" t="s">
        <v>79</v>
      </c>
      <c r="S991">
        <v>5</v>
      </c>
      <c r="T991" s="13">
        <f t="shared" si="17"/>
        <v>5</v>
      </c>
      <c r="U991" t="s">
        <v>26</v>
      </c>
    </row>
    <row r="992" spans="1:21" x14ac:dyDescent="0.3">
      <c r="A992">
        <v>16</v>
      </c>
      <c r="B992">
        <v>2</v>
      </c>
      <c r="C992">
        <v>207710</v>
      </c>
      <c r="D992" t="s">
        <v>58</v>
      </c>
      <c r="E992" s="10">
        <v>44098</v>
      </c>
      <c r="F992" t="s">
        <v>23</v>
      </c>
      <c r="G992" s="3" t="s">
        <v>52</v>
      </c>
      <c r="H992" t="s">
        <v>141</v>
      </c>
      <c r="S992">
        <v>2</v>
      </c>
      <c r="T992" s="13">
        <f t="shared" si="17"/>
        <v>2</v>
      </c>
      <c r="U992" t="s">
        <v>53</v>
      </c>
    </row>
    <row r="993" spans="1:22" x14ac:dyDescent="0.3">
      <c r="A993">
        <v>16</v>
      </c>
      <c r="B993">
        <v>2</v>
      </c>
      <c r="C993">
        <v>207710</v>
      </c>
      <c r="D993" t="s">
        <v>58</v>
      </c>
      <c r="E993" s="10">
        <v>44098</v>
      </c>
      <c r="F993" t="s">
        <v>23</v>
      </c>
      <c r="G993" s="3" t="s">
        <v>52</v>
      </c>
      <c r="H993" t="s">
        <v>60</v>
      </c>
      <c r="S993">
        <v>2</v>
      </c>
      <c r="T993" s="13">
        <f t="shared" si="17"/>
        <v>2</v>
      </c>
      <c r="U993" t="s">
        <v>53</v>
      </c>
    </row>
    <row r="994" spans="1:22" x14ac:dyDescent="0.3">
      <c r="A994">
        <v>16</v>
      </c>
      <c r="B994">
        <v>2</v>
      </c>
      <c r="C994">
        <v>207710</v>
      </c>
      <c r="D994" t="s">
        <v>58</v>
      </c>
      <c r="E994" s="10">
        <v>44098</v>
      </c>
      <c r="F994" t="s">
        <v>23</v>
      </c>
      <c r="G994" s="3" t="s">
        <v>52</v>
      </c>
      <c r="H994" t="s">
        <v>82</v>
      </c>
      <c r="S994">
        <v>8</v>
      </c>
      <c r="T994" s="13">
        <f t="shared" si="17"/>
        <v>8</v>
      </c>
      <c r="U994" t="s">
        <v>53</v>
      </c>
    </row>
    <row r="995" spans="1:22" s="5" customFormat="1" ht="16.2" thickBot="1" x14ac:dyDescent="0.35">
      <c r="A995" s="5">
        <v>16</v>
      </c>
      <c r="B995" s="5">
        <v>2</v>
      </c>
      <c r="C995" s="5">
        <v>207710</v>
      </c>
      <c r="D995" s="5" t="s">
        <v>58</v>
      </c>
      <c r="E995" s="11">
        <v>44098</v>
      </c>
      <c r="F995" s="5" t="s">
        <v>23</v>
      </c>
      <c r="G995" s="6" t="s">
        <v>52</v>
      </c>
      <c r="H995" s="5" t="s">
        <v>180</v>
      </c>
      <c r="S995" s="5">
        <v>3</v>
      </c>
      <c r="T995" s="12">
        <f t="shared" si="17"/>
        <v>3</v>
      </c>
      <c r="U995" s="5" t="s">
        <v>53</v>
      </c>
      <c r="V995" s="14"/>
    </row>
    <row r="996" spans="1:22" x14ac:dyDescent="0.3">
      <c r="A996">
        <v>16</v>
      </c>
      <c r="B996">
        <v>3</v>
      </c>
      <c r="C996">
        <v>207711</v>
      </c>
      <c r="D996" t="s">
        <v>58</v>
      </c>
      <c r="E996" s="10">
        <v>44098</v>
      </c>
      <c r="F996" t="s">
        <v>23</v>
      </c>
      <c r="G996" s="3" t="s">
        <v>48</v>
      </c>
      <c r="H996" t="s">
        <v>25</v>
      </c>
      <c r="O996">
        <v>11</v>
      </c>
      <c r="P996">
        <v>137</v>
      </c>
      <c r="Q996">
        <v>5</v>
      </c>
      <c r="R996">
        <v>1</v>
      </c>
      <c r="T996" s="13">
        <f t="shared" si="17"/>
        <v>154</v>
      </c>
      <c r="U996" t="s">
        <v>26</v>
      </c>
    </row>
    <row r="997" spans="1:22" x14ac:dyDescent="0.3">
      <c r="A997">
        <v>16</v>
      </c>
      <c r="B997">
        <v>3</v>
      </c>
      <c r="C997">
        <v>207711</v>
      </c>
      <c r="D997" t="s">
        <v>58</v>
      </c>
      <c r="E997" s="10">
        <v>44098</v>
      </c>
      <c r="F997" t="s">
        <v>23</v>
      </c>
      <c r="G997" s="3" t="s">
        <v>48</v>
      </c>
      <c r="H997" t="s">
        <v>27</v>
      </c>
      <c r="P997">
        <v>1</v>
      </c>
      <c r="T997" s="13">
        <f t="shared" si="17"/>
        <v>1</v>
      </c>
      <c r="U997" t="s">
        <v>26</v>
      </c>
    </row>
    <row r="998" spans="1:22" x14ac:dyDescent="0.3">
      <c r="A998">
        <v>16</v>
      </c>
      <c r="B998">
        <v>3</v>
      </c>
      <c r="C998">
        <v>207711</v>
      </c>
      <c r="D998" t="s">
        <v>58</v>
      </c>
      <c r="E998" s="10">
        <v>44098</v>
      </c>
      <c r="F998" t="s">
        <v>23</v>
      </c>
      <c r="G998" s="3" t="s">
        <v>48</v>
      </c>
      <c r="H998" t="s">
        <v>60</v>
      </c>
      <c r="S998">
        <v>1</v>
      </c>
      <c r="T998" s="13">
        <f t="shared" si="17"/>
        <v>1</v>
      </c>
      <c r="U998" t="s">
        <v>26</v>
      </c>
    </row>
    <row r="999" spans="1:22" x14ac:dyDescent="0.3">
      <c r="A999">
        <v>16</v>
      </c>
      <c r="B999">
        <v>3</v>
      </c>
      <c r="C999">
        <v>207711</v>
      </c>
      <c r="D999" t="s">
        <v>58</v>
      </c>
      <c r="E999" s="10">
        <v>44098</v>
      </c>
      <c r="F999" t="s">
        <v>23</v>
      </c>
      <c r="G999" s="3" t="s">
        <v>48</v>
      </c>
      <c r="H999" t="s">
        <v>69</v>
      </c>
      <c r="I999">
        <v>2</v>
      </c>
      <c r="T999" s="13">
        <f t="shared" si="17"/>
        <v>2</v>
      </c>
      <c r="U999" t="s">
        <v>26</v>
      </c>
    </row>
    <row r="1000" spans="1:22" x14ac:dyDescent="0.3">
      <c r="A1000">
        <v>16</v>
      </c>
      <c r="B1000">
        <v>3</v>
      </c>
      <c r="C1000">
        <v>207711</v>
      </c>
      <c r="D1000" t="s">
        <v>58</v>
      </c>
      <c r="E1000" s="10">
        <v>44098</v>
      </c>
      <c r="F1000" t="s">
        <v>23</v>
      </c>
      <c r="G1000" s="3" t="s">
        <v>48</v>
      </c>
      <c r="H1000" t="s">
        <v>30</v>
      </c>
      <c r="I1000">
        <v>5</v>
      </c>
      <c r="T1000" s="13">
        <f t="shared" si="17"/>
        <v>5</v>
      </c>
      <c r="U1000" t="s">
        <v>26</v>
      </c>
    </row>
    <row r="1001" spans="1:22" x14ac:dyDescent="0.3">
      <c r="A1001">
        <v>16</v>
      </c>
      <c r="B1001">
        <v>3</v>
      </c>
      <c r="C1001">
        <v>207711</v>
      </c>
      <c r="D1001" t="s">
        <v>58</v>
      </c>
      <c r="E1001" s="10">
        <v>44098</v>
      </c>
      <c r="F1001" t="s">
        <v>23</v>
      </c>
      <c r="G1001" s="3" t="s">
        <v>48</v>
      </c>
      <c r="H1001" t="s">
        <v>34</v>
      </c>
      <c r="Q1001">
        <v>8</v>
      </c>
      <c r="R1001">
        <v>10</v>
      </c>
      <c r="T1001" s="13">
        <f t="shared" si="17"/>
        <v>18</v>
      </c>
      <c r="U1001" t="s">
        <v>26</v>
      </c>
    </row>
    <row r="1002" spans="1:22" x14ac:dyDescent="0.3">
      <c r="A1002">
        <v>16</v>
      </c>
      <c r="B1002">
        <v>3</v>
      </c>
      <c r="C1002">
        <v>207711</v>
      </c>
      <c r="D1002" t="s">
        <v>58</v>
      </c>
      <c r="E1002" s="10">
        <v>44098</v>
      </c>
      <c r="F1002" t="s">
        <v>23</v>
      </c>
      <c r="G1002" s="3" t="s">
        <v>48</v>
      </c>
      <c r="H1002" t="s">
        <v>62</v>
      </c>
      <c r="Q1002">
        <v>1</v>
      </c>
      <c r="T1002" s="13">
        <f t="shared" si="17"/>
        <v>1</v>
      </c>
      <c r="U1002" t="s">
        <v>26</v>
      </c>
    </row>
    <row r="1003" spans="1:22" x14ac:dyDescent="0.3">
      <c r="A1003">
        <v>16</v>
      </c>
      <c r="B1003">
        <v>3</v>
      </c>
      <c r="C1003">
        <v>207711</v>
      </c>
      <c r="D1003" t="s">
        <v>58</v>
      </c>
      <c r="E1003" s="10">
        <v>44098</v>
      </c>
      <c r="F1003" t="s">
        <v>23</v>
      </c>
      <c r="G1003" s="3" t="s">
        <v>48</v>
      </c>
      <c r="H1003" t="s">
        <v>31</v>
      </c>
      <c r="Q1003">
        <v>1</v>
      </c>
      <c r="R1003">
        <v>1</v>
      </c>
      <c r="T1003" s="13">
        <f t="shared" si="17"/>
        <v>2</v>
      </c>
      <c r="U1003" t="s">
        <v>26</v>
      </c>
    </row>
    <row r="1004" spans="1:22" x14ac:dyDescent="0.3">
      <c r="A1004">
        <v>16</v>
      </c>
      <c r="B1004">
        <v>3</v>
      </c>
      <c r="C1004">
        <v>207711</v>
      </c>
      <c r="D1004" t="s">
        <v>58</v>
      </c>
      <c r="E1004" s="10">
        <v>44098</v>
      </c>
      <c r="F1004" t="s">
        <v>23</v>
      </c>
      <c r="G1004" s="3" t="s">
        <v>48</v>
      </c>
      <c r="H1004" t="s">
        <v>37</v>
      </c>
      <c r="O1004">
        <v>1</v>
      </c>
      <c r="P1004">
        <v>1</v>
      </c>
      <c r="Q1004">
        <v>3</v>
      </c>
      <c r="T1004" s="13">
        <f t="shared" si="17"/>
        <v>5</v>
      </c>
      <c r="U1004" t="s">
        <v>26</v>
      </c>
    </row>
    <row r="1005" spans="1:22" x14ac:dyDescent="0.3">
      <c r="A1005">
        <v>16</v>
      </c>
      <c r="B1005">
        <v>3</v>
      </c>
      <c r="C1005">
        <v>207711</v>
      </c>
      <c r="D1005" t="s">
        <v>58</v>
      </c>
      <c r="E1005" s="10">
        <v>44098</v>
      </c>
      <c r="F1005" t="s">
        <v>23</v>
      </c>
      <c r="G1005" s="3" t="s">
        <v>48</v>
      </c>
      <c r="H1005" t="s">
        <v>38</v>
      </c>
      <c r="R1005">
        <v>3</v>
      </c>
      <c r="T1005" s="13">
        <f t="shared" si="17"/>
        <v>3</v>
      </c>
      <c r="U1005" t="s">
        <v>26</v>
      </c>
    </row>
    <row r="1006" spans="1:22" x14ac:dyDescent="0.3">
      <c r="A1006">
        <v>16</v>
      </c>
      <c r="B1006">
        <v>3</v>
      </c>
      <c r="C1006">
        <v>207711</v>
      </c>
      <c r="D1006" t="s">
        <v>58</v>
      </c>
      <c r="E1006" s="10">
        <v>44098</v>
      </c>
      <c r="F1006" t="s">
        <v>23</v>
      </c>
      <c r="G1006" s="3" t="s">
        <v>48</v>
      </c>
      <c r="H1006" t="s">
        <v>66</v>
      </c>
      <c r="O1006">
        <v>1</v>
      </c>
      <c r="P1006">
        <v>2</v>
      </c>
      <c r="T1006" s="13">
        <f t="shared" si="17"/>
        <v>3</v>
      </c>
      <c r="U1006" t="s">
        <v>26</v>
      </c>
    </row>
    <row r="1007" spans="1:22" x14ac:dyDescent="0.3">
      <c r="A1007">
        <v>16</v>
      </c>
      <c r="B1007">
        <v>3</v>
      </c>
      <c r="C1007">
        <v>207711</v>
      </c>
      <c r="D1007" t="s">
        <v>58</v>
      </c>
      <c r="E1007" s="10">
        <v>44098</v>
      </c>
      <c r="F1007" t="s">
        <v>23</v>
      </c>
      <c r="G1007" s="3" t="s">
        <v>48</v>
      </c>
      <c r="H1007" t="s">
        <v>41</v>
      </c>
      <c r="S1007">
        <v>2</v>
      </c>
      <c r="T1007" s="13">
        <f t="shared" si="17"/>
        <v>2</v>
      </c>
      <c r="U1007" t="s">
        <v>26</v>
      </c>
    </row>
    <row r="1008" spans="1:22" x14ac:dyDescent="0.3">
      <c r="A1008">
        <v>16</v>
      </c>
      <c r="B1008">
        <v>3</v>
      </c>
      <c r="C1008">
        <v>207711</v>
      </c>
      <c r="D1008" t="s">
        <v>58</v>
      </c>
      <c r="E1008" s="10">
        <v>44098</v>
      </c>
      <c r="F1008" t="s">
        <v>23</v>
      </c>
      <c r="G1008" s="3" t="s">
        <v>48</v>
      </c>
      <c r="H1008" t="s">
        <v>46</v>
      </c>
      <c r="K1008">
        <v>1</v>
      </c>
      <c r="Q1008">
        <v>1</v>
      </c>
      <c r="T1008" s="13">
        <f t="shared" si="17"/>
        <v>2</v>
      </c>
      <c r="U1008" t="s">
        <v>26</v>
      </c>
    </row>
    <row r="1009" spans="1:22" x14ac:dyDescent="0.3">
      <c r="A1009">
        <v>16</v>
      </c>
      <c r="B1009">
        <v>3</v>
      </c>
      <c r="C1009">
        <v>207711</v>
      </c>
      <c r="D1009" t="s">
        <v>58</v>
      </c>
      <c r="E1009" s="10">
        <v>44098</v>
      </c>
      <c r="F1009" t="s">
        <v>23</v>
      </c>
      <c r="G1009" s="3" t="s">
        <v>48</v>
      </c>
      <c r="H1009" t="s">
        <v>43</v>
      </c>
      <c r="K1009">
        <v>2</v>
      </c>
      <c r="Q1009">
        <v>2</v>
      </c>
      <c r="T1009" s="13">
        <f t="shared" si="17"/>
        <v>4</v>
      </c>
      <c r="U1009" t="s">
        <v>26</v>
      </c>
    </row>
    <row r="1010" spans="1:22" x14ac:dyDescent="0.3">
      <c r="A1010">
        <v>16</v>
      </c>
      <c r="B1010">
        <v>3</v>
      </c>
      <c r="C1010">
        <v>207711</v>
      </c>
      <c r="D1010" t="s">
        <v>58</v>
      </c>
      <c r="E1010" s="10">
        <v>44098</v>
      </c>
      <c r="F1010" t="s">
        <v>23</v>
      </c>
      <c r="G1010" s="3" t="s">
        <v>52</v>
      </c>
      <c r="H1010" t="s">
        <v>141</v>
      </c>
      <c r="S1010">
        <v>4</v>
      </c>
      <c r="T1010" s="13">
        <f t="shared" si="17"/>
        <v>4</v>
      </c>
      <c r="U1010" t="s">
        <v>53</v>
      </c>
    </row>
    <row r="1011" spans="1:22" x14ac:dyDescent="0.3">
      <c r="A1011">
        <v>16</v>
      </c>
      <c r="B1011">
        <v>3</v>
      </c>
      <c r="C1011">
        <v>207711</v>
      </c>
      <c r="D1011" t="s">
        <v>58</v>
      </c>
      <c r="E1011" s="10">
        <v>44098</v>
      </c>
      <c r="F1011" t="s">
        <v>23</v>
      </c>
      <c r="G1011" s="3" t="s">
        <v>52</v>
      </c>
      <c r="H1011" t="s">
        <v>82</v>
      </c>
      <c r="S1011">
        <v>1</v>
      </c>
      <c r="T1011" s="13">
        <f t="shared" si="17"/>
        <v>1</v>
      </c>
      <c r="U1011" t="s">
        <v>53</v>
      </c>
    </row>
    <row r="1012" spans="1:22" s="5" customFormat="1" ht="16.2" thickBot="1" x14ac:dyDescent="0.35">
      <c r="A1012" s="5">
        <v>16</v>
      </c>
      <c r="B1012" s="5">
        <v>3</v>
      </c>
      <c r="C1012" s="5">
        <v>207711</v>
      </c>
      <c r="D1012" s="5" t="s">
        <v>58</v>
      </c>
      <c r="E1012" s="11">
        <v>44098</v>
      </c>
      <c r="F1012" s="5" t="s">
        <v>23</v>
      </c>
      <c r="G1012" s="6" t="s">
        <v>48</v>
      </c>
      <c r="H1012" s="5" t="s">
        <v>141</v>
      </c>
      <c r="S1012" s="5">
        <v>1</v>
      </c>
      <c r="T1012" s="12">
        <f t="shared" ref="T1012:T1075" si="18">SUM(I1012:S1012)</f>
        <v>1</v>
      </c>
      <c r="U1012" s="5" t="s">
        <v>53</v>
      </c>
      <c r="V1012" s="14"/>
    </row>
    <row r="1013" spans="1:22" x14ac:dyDescent="0.3">
      <c r="A1013">
        <v>16</v>
      </c>
      <c r="B1013">
        <v>4</v>
      </c>
      <c r="C1013">
        <v>207712</v>
      </c>
      <c r="D1013" t="s">
        <v>58</v>
      </c>
      <c r="E1013" s="10">
        <v>44098</v>
      </c>
      <c r="F1013" t="s">
        <v>23</v>
      </c>
      <c r="G1013" s="3" t="s">
        <v>52</v>
      </c>
      <c r="H1013" t="s">
        <v>38</v>
      </c>
      <c r="O1013">
        <v>1</v>
      </c>
      <c r="Q1013">
        <v>1</v>
      </c>
      <c r="R1013">
        <v>1</v>
      </c>
      <c r="T1013" s="13">
        <f t="shared" si="18"/>
        <v>3</v>
      </c>
      <c r="U1013" t="s">
        <v>26</v>
      </c>
    </row>
    <row r="1014" spans="1:22" x14ac:dyDescent="0.3">
      <c r="A1014">
        <v>16</v>
      </c>
      <c r="B1014">
        <v>4</v>
      </c>
      <c r="C1014">
        <v>207712</v>
      </c>
      <c r="D1014" t="s">
        <v>58</v>
      </c>
      <c r="E1014" s="10">
        <v>44098</v>
      </c>
      <c r="F1014" t="s">
        <v>23</v>
      </c>
      <c r="G1014" s="3" t="s">
        <v>52</v>
      </c>
      <c r="H1014" t="s">
        <v>43</v>
      </c>
      <c r="Q1014">
        <v>1</v>
      </c>
      <c r="T1014" s="13">
        <f t="shared" si="18"/>
        <v>1</v>
      </c>
      <c r="U1014" t="s">
        <v>26</v>
      </c>
    </row>
    <row r="1015" spans="1:22" x14ac:dyDescent="0.3">
      <c r="A1015">
        <v>16</v>
      </c>
      <c r="B1015">
        <v>4</v>
      </c>
      <c r="C1015">
        <v>207712</v>
      </c>
      <c r="D1015" t="s">
        <v>58</v>
      </c>
      <c r="E1015" s="10">
        <v>44098</v>
      </c>
      <c r="F1015" t="s">
        <v>23</v>
      </c>
      <c r="G1015" s="3" t="s">
        <v>52</v>
      </c>
      <c r="H1015" t="s">
        <v>30</v>
      </c>
      <c r="I1015">
        <v>1</v>
      </c>
      <c r="T1015" s="13">
        <f t="shared" si="18"/>
        <v>1</v>
      </c>
      <c r="U1015" t="s">
        <v>26</v>
      </c>
    </row>
    <row r="1016" spans="1:22" x14ac:dyDescent="0.3">
      <c r="A1016">
        <v>16</v>
      </c>
      <c r="B1016">
        <v>4</v>
      </c>
      <c r="C1016">
        <v>207712</v>
      </c>
      <c r="D1016" t="s">
        <v>58</v>
      </c>
      <c r="E1016" s="10">
        <v>44098</v>
      </c>
      <c r="F1016" t="s">
        <v>23</v>
      </c>
      <c r="G1016" s="3" t="s">
        <v>88</v>
      </c>
      <c r="H1016" t="s">
        <v>25</v>
      </c>
      <c r="N1016">
        <v>1</v>
      </c>
      <c r="O1016">
        <v>22</v>
      </c>
      <c r="P1016">
        <v>60</v>
      </c>
      <c r="Q1016">
        <v>3</v>
      </c>
      <c r="T1016" s="13">
        <f t="shared" si="18"/>
        <v>86</v>
      </c>
      <c r="U1016" t="s">
        <v>26</v>
      </c>
    </row>
    <row r="1017" spans="1:22" x14ac:dyDescent="0.3">
      <c r="A1017">
        <v>16</v>
      </c>
      <c r="B1017">
        <v>4</v>
      </c>
      <c r="C1017">
        <v>207712</v>
      </c>
      <c r="D1017" t="s">
        <v>58</v>
      </c>
      <c r="E1017" s="10">
        <v>44098</v>
      </c>
      <c r="F1017" t="s">
        <v>23</v>
      </c>
      <c r="G1017" s="3" t="s">
        <v>28</v>
      </c>
      <c r="H1017" t="s">
        <v>89</v>
      </c>
      <c r="S1017">
        <v>1</v>
      </c>
      <c r="T1017" s="13">
        <f t="shared" si="18"/>
        <v>1</v>
      </c>
      <c r="U1017" t="s">
        <v>26</v>
      </c>
    </row>
    <row r="1018" spans="1:22" x14ac:dyDescent="0.3">
      <c r="A1018">
        <v>16</v>
      </c>
      <c r="B1018">
        <v>4</v>
      </c>
      <c r="C1018">
        <v>207712</v>
      </c>
      <c r="D1018" t="s">
        <v>58</v>
      </c>
      <c r="E1018" s="10">
        <v>44098</v>
      </c>
      <c r="F1018" t="s">
        <v>23</v>
      </c>
      <c r="G1018" s="3" t="s">
        <v>28</v>
      </c>
      <c r="H1018" t="s">
        <v>60</v>
      </c>
      <c r="S1018">
        <v>3</v>
      </c>
      <c r="T1018" s="13">
        <f t="shared" si="18"/>
        <v>3</v>
      </c>
      <c r="U1018" t="s">
        <v>26</v>
      </c>
    </row>
    <row r="1019" spans="1:22" x14ac:dyDescent="0.3">
      <c r="A1019">
        <v>16</v>
      </c>
      <c r="B1019">
        <v>4</v>
      </c>
      <c r="C1019">
        <v>207712</v>
      </c>
      <c r="D1019" t="s">
        <v>58</v>
      </c>
      <c r="E1019" s="10">
        <v>44098</v>
      </c>
      <c r="F1019" t="s">
        <v>23</v>
      </c>
      <c r="G1019" s="3" t="s">
        <v>28</v>
      </c>
      <c r="H1019" t="s">
        <v>30</v>
      </c>
      <c r="I1019">
        <v>22</v>
      </c>
      <c r="J1019">
        <v>18</v>
      </c>
      <c r="T1019" s="13">
        <f t="shared" si="18"/>
        <v>40</v>
      </c>
      <c r="U1019" t="s">
        <v>26</v>
      </c>
    </row>
    <row r="1020" spans="1:22" x14ac:dyDescent="0.3">
      <c r="A1020">
        <v>16</v>
      </c>
      <c r="B1020">
        <v>4</v>
      </c>
      <c r="C1020">
        <v>207712</v>
      </c>
      <c r="D1020" t="s">
        <v>58</v>
      </c>
      <c r="E1020" s="10">
        <v>44098</v>
      </c>
      <c r="F1020" t="s">
        <v>23</v>
      </c>
      <c r="G1020" s="3" t="s">
        <v>88</v>
      </c>
      <c r="H1020" t="s">
        <v>66</v>
      </c>
      <c r="O1020">
        <v>1</v>
      </c>
      <c r="P1020">
        <v>1</v>
      </c>
      <c r="T1020" s="13">
        <f t="shared" si="18"/>
        <v>2</v>
      </c>
      <c r="U1020" t="s">
        <v>26</v>
      </c>
    </row>
    <row r="1021" spans="1:22" x14ac:dyDescent="0.3">
      <c r="A1021">
        <v>16</v>
      </c>
      <c r="B1021">
        <v>4</v>
      </c>
      <c r="C1021">
        <v>207712</v>
      </c>
      <c r="D1021" t="s">
        <v>58</v>
      </c>
      <c r="E1021" s="10">
        <v>44098</v>
      </c>
      <c r="F1021" t="s">
        <v>23</v>
      </c>
      <c r="G1021" s="3" t="s">
        <v>88</v>
      </c>
      <c r="H1021" t="s">
        <v>38</v>
      </c>
      <c r="O1021">
        <v>3</v>
      </c>
      <c r="P1021">
        <v>2</v>
      </c>
      <c r="Q1021">
        <v>11</v>
      </c>
      <c r="R1021">
        <v>6</v>
      </c>
      <c r="T1021" s="13">
        <f t="shared" si="18"/>
        <v>22</v>
      </c>
      <c r="U1021" t="s">
        <v>26</v>
      </c>
    </row>
    <row r="1022" spans="1:22" x14ac:dyDescent="0.3">
      <c r="A1022">
        <v>16</v>
      </c>
      <c r="B1022">
        <v>4</v>
      </c>
      <c r="C1022">
        <v>207712</v>
      </c>
      <c r="D1022" t="s">
        <v>58</v>
      </c>
      <c r="E1022" s="10">
        <v>44098</v>
      </c>
      <c r="F1022" t="s">
        <v>23</v>
      </c>
      <c r="G1022" s="3" t="s">
        <v>88</v>
      </c>
      <c r="H1022" t="s">
        <v>37</v>
      </c>
      <c r="P1022">
        <v>2</v>
      </c>
      <c r="Q1022">
        <v>5</v>
      </c>
      <c r="R1022">
        <v>2</v>
      </c>
      <c r="T1022" s="13">
        <f t="shared" si="18"/>
        <v>9</v>
      </c>
      <c r="U1022" t="s">
        <v>26</v>
      </c>
    </row>
    <row r="1023" spans="1:22" x14ac:dyDescent="0.3">
      <c r="A1023">
        <v>16</v>
      </c>
      <c r="B1023">
        <v>4</v>
      </c>
      <c r="C1023">
        <v>207712</v>
      </c>
      <c r="D1023" t="s">
        <v>58</v>
      </c>
      <c r="E1023" s="10">
        <v>44098</v>
      </c>
      <c r="F1023" t="s">
        <v>23</v>
      </c>
      <c r="G1023" s="3" t="s">
        <v>88</v>
      </c>
      <c r="H1023" t="s">
        <v>34</v>
      </c>
      <c r="Q1023">
        <v>2</v>
      </c>
      <c r="R1023">
        <v>3</v>
      </c>
      <c r="T1023" s="13">
        <f t="shared" si="18"/>
        <v>5</v>
      </c>
      <c r="U1023" t="s">
        <v>26</v>
      </c>
    </row>
    <row r="1024" spans="1:22" x14ac:dyDescent="0.3">
      <c r="A1024">
        <v>16</v>
      </c>
      <c r="B1024">
        <v>4</v>
      </c>
      <c r="C1024">
        <v>207712</v>
      </c>
      <c r="D1024" t="s">
        <v>58</v>
      </c>
      <c r="E1024" s="10">
        <v>44098</v>
      </c>
      <c r="F1024" t="s">
        <v>23</v>
      </c>
      <c r="G1024" s="3" t="s">
        <v>88</v>
      </c>
      <c r="H1024" t="s">
        <v>31</v>
      </c>
      <c r="Q1024">
        <v>2</v>
      </c>
      <c r="T1024" s="13">
        <f t="shared" si="18"/>
        <v>2</v>
      </c>
      <c r="U1024" t="s">
        <v>26</v>
      </c>
    </row>
    <row r="1025" spans="1:22" x14ac:dyDescent="0.3">
      <c r="A1025">
        <v>16</v>
      </c>
      <c r="B1025">
        <v>4</v>
      </c>
      <c r="C1025">
        <v>207712</v>
      </c>
      <c r="D1025" t="s">
        <v>58</v>
      </c>
      <c r="E1025" s="10">
        <v>44098</v>
      </c>
      <c r="F1025" t="s">
        <v>23</v>
      </c>
      <c r="G1025" s="3" t="s">
        <v>88</v>
      </c>
      <c r="H1025" t="s">
        <v>43</v>
      </c>
      <c r="I1025">
        <v>3</v>
      </c>
      <c r="K1025">
        <v>2</v>
      </c>
      <c r="Q1025">
        <v>10</v>
      </c>
      <c r="T1025" s="13">
        <f t="shared" si="18"/>
        <v>15</v>
      </c>
      <c r="U1025" t="s">
        <v>26</v>
      </c>
    </row>
    <row r="1026" spans="1:22" x14ac:dyDescent="0.3">
      <c r="A1026">
        <v>16</v>
      </c>
      <c r="B1026">
        <v>4</v>
      </c>
      <c r="C1026">
        <v>207712</v>
      </c>
      <c r="D1026" t="s">
        <v>58</v>
      </c>
      <c r="E1026" s="10">
        <v>44098</v>
      </c>
      <c r="F1026" t="s">
        <v>23</v>
      </c>
      <c r="G1026" s="3" t="s">
        <v>88</v>
      </c>
      <c r="H1026" t="s">
        <v>46</v>
      </c>
      <c r="K1026">
        <v>8</v>
      </c>
      <c r="Q1026">
        <v>11</v>
      </c>
      <c r="T1026" s="13">
        <f t="shared" si="18"/>
        <v>19</v>
      </c>
      <c r="U1026" t="s">
        <v>26</v>
      </c>
    </row>
    <row r="1027" spans="1:22" x14ac:dyDescent="0.3">
      <c r="A1027">
        <v>16</v>
      </c>
      <c r="B1027">
        <v>4</v>
      </c>
      <c r="C1027">
        <v>207712</v>
      </c>
      <c r="D1027" t="s">
        <v>58</v>
      </c>
      <c r="E1027" s="10">
        <v>44098</v>
      </c>
      <c r="F1027" t="s">
        <v>23</v>
      </c>
      <c r="G1027" s="3" t="s">
        <v>88</v>
      </c>
      <c r="H1027" t="s">
        <v>74</v>
      </c>
      <c r="Q1027">
        <v>1</v>
      </c>
      <c r="T1027" s="13">
        <f t="shared" si="18"/>
        <v>1</v>
      </c>
      <c r="U1027" t="s">
        <v>26</v>
      </c>
    </row>
    <row r="1028" spans="1:22" x14ac:dyDescent="0.3">
      <c r="A1028">
        <v>16</v>
      </c>
      <c r="B1028">
        <v>4</v>
      </c>
      <c r="C1028">
        <v>207712</v>
      </c>
      <c r="D1028" t="s">
        <v>58</v>
      </c>
      <c r="E1028" s="10">
        <v>44098</v>
      </c>
      <c r="F1028" t="s">
        <v>23</v>
      </c>
      <c r="G1028" s="3" t="s">
        <v>88</v>
      </c>
      <c r="H1028" t="s">
        <v>41</v>
      </c>
      <c r="S1028">
        <v>4</v>
      </c>
      <c r="T1028" s="13">
        <f t="shared" si="18"/>
        <v>4</v>
      </c>
      <c r="U1028" t="s">
        <v>26</v>
      </c>
    </row>
    <row r="1029" spans="1:22" s="5" customFormat="1" ht="16.2" thickBot="1" x14ac:dyDescent="0.35">
      <c r="A1029" s="5">
        <v>16</v>
      </c>
      <c r="B1029" s="5">
        <v>4</v>
      </c>
      <c r="C1029" s="5">
        <v>207712</v>
      </c>
      <c r="D1029" s="5" t="s">
        <v>58</v>
      </c>
      <c r="E1029" s="11">
        <v>44098</v>
      </c>
      <c r="F1029" s="5" t="s">
        <v>23</v>
      </c>
      <c r="G1029" s="6" t="s">
        <v>52</v>
      </c>
      <c r="H1029" s="5" t="s">
        <v>238</v>
      </c>
      <c r="S1029" s="5">
        <v>1</v>
      </c>
      <c r="T1029" s="12">
        <f t="shared" si="18"/>
        <v>1</v>
      </c>
      <c r="U1029" s="5" t="s">
        <v>53</v>
      </c>
      <c r="V1029" s="14"/>
    </row>
    <row r="1030" spans="1:22" x14ac:dyDescent="0.3">
      <c r="A1030">
        <v>16</v>
      </c>
      <c r="B1030">
        <v>5</v>
      </c>
      <c r="C1030">
        <v>207713</v>
      </c>
      <c r="D1030" t="s">
        <v>58</v>
      </c>
      <c r="E1030" s="10">
        <v>44098</v>
      </c>
      <c r="F1030" t="s">
        <v>23</v>
      </c>
      <c r="G1030" s="3" t="s">
        <v>87</v>
      </c>
      <c r="H1030" t="s">
        <v>25</v>
      </c>
      <c r="N1030">
        <v>6</v>
      </c>
      <c r="O1030">
        <v>37</v>
      </c>
      <c r="P1030">
        <v>50</v>
      </c>
      <c r="Q1030">
        <v>1</v>
      </c>
      <c r="T1030" s="13">
        <f t="shared" si="18"/>
        <v>94</v>
      </c>
      <c r="U1030" t="s">
        <v>26</v>
      </c>
    </row>
    <row r="1031" spans="1:22" x14ac:dyDescent="0.3">
      <c r="A1031">
        <v>16</v>
      </c>
      <c r="B1031">
        <v>5</v>
      </c>
      <c r="C1031">
        <v>207713</v>
      </c>
      <c r="D1031" t="s">
        <v>58</v>
      </c>
      <c r="E1031" s="10">
        <v>44098</v>
      </c>
      <c r="F1031" t="s">
        <v>23</v>
      </c>
      <c r="G1031" s="3" t="s">
        <v>87</v>
      </c>
      <c r="H1031" t="s">
        <v>27</v>
      </c>
      <c r="O1031">
        <v>1</v>
      </c>
      <c r="P1031">
        <v>1</v>
      </c>
      <c r="T1031" s="13">
        <f t="shared" si="18"/>
        <v>2</v>
      </c>
      <c r="U1031" t="s">
        <v>26</v>
      </c>
    </row>
    <row r="1032" spans="1:22" x14ac:dyDescent="0.3">
      <c r="A1032">
        <v>16</v>
      </c>
      <c r="B1032">
        <v>5</v>
      </c>
      <c r="C1032">
        <v>207713</v>
      </c>
      <c r="D1032" t="s">
        <v>58</v>
      </c>
      <c r="E1032" s="10">
        <v>44098</v>
      </c>
      <c r="F1032" t="s">
        <v>23</v>
      </c>
      <c r="G1032" s="3" t="s">
        <v>90</v>
      </c>
      <c r="H1032" t="s">
        <v>30</v>
      </c>
      <c r="I1032">
        <v>12</v>
      </c>
      <c r="J1032">
        <v>34</v>
      </c>
      <c r="T1032" s="13">
        <f t="shared" si="18"/>
        <v>46</v>
      </c>
      <c r="U1032" t="s">
        <v>26</v>
      </c>
    </row>
    <row r="1033" spans="1:22" x14ac:dyDescent="0.3">
      <c r="A1033">
        <v>16</v>
      </c>
      <c r="B1033">
        <v>5</v>
      </c>
      <c r="C1033">
        <v>207713</v>
      </c>
      <c r="D1033" t="s">
        <v>58</v>
      </c>
      <c r="E1033" s="10">
        <v>44098</v>
      </c>
      <c r="F1033" t="s">
        <v>23</v>
      </c>
      <c r="G1033" s="3" t="s">
        <v>90</v>
      </c>
      <c r="H1033" t="s">
        <v>60</v>
      </c>
      <c r="S1033">
        <v>1</v>
      </c>
      <c r="T1033" s="13">
        <f t="shared" si="18"/>
        <v>1</v>
      </c>
      <c r="U1033" t="s">
        <v>26</v>
      </c>
    </row>
    <row r="1034" spans="1:22" x14ac:dyDescent="0.3">
      <c r="A1034">
        <v>16</v>
      </c>
      <c r="B1034">
        <v>5</v>
      </c>
      <c r="C1034">
        <v>207713</v>
      </c>
      <c r="D1034" t="s">
        <v>58</v>
      </c>
      <c r="E1034" s="10">
        <v>44098</v>
      </c>
      <c r="F1034" t="s">
        <v>23</v>
      </c>
      <c r="G1034" s="3" t="s">
        <v>90</v>
      </c>
      <c r="H1034" t="s">
        <v>37</v>
      </c>
      <c r="O1034">
        <v>7</v>
      </c>
      <c r="P1034">
        <v>6</v>
      </c>
      <c r="Q1034">
        <v>27</v>
      </c>
      <c r="R1034">
        <v>10</v>
      </c>
      <c r="T1034" s="13">
        <f t="shared" si="18"/>
        <v>50</v>
      </c>
      <c r="U1034" t="s">
        <v>26</v>
      </c>
    </row>
    <row r="1035" spans="1:22" x14ac:dyDescent="0.3">
      <c r="A1035">
        <v>16</v>
      </c>
      <c r="B1035">
        <v>5</v>
      </c>
      <c r="C1035">
        <v>207713</v>
      </c>
      <c r="D1035" t="s">
        <v>58</v>
      </c>
      <c r="E1035" s="10">
        <v>44098</v>
      </c>
      <c r="F1035" t="s">
        <v>23</v>
      </c>
      <c r="G1035" s="3" t="s">
        <v>90</v>
      </c>
      <c r="H1035" t="s">
        <v>38</v>
      </c>
      <c r="O1035">
        <v>32</v>
      </c>
      <c r="P1035">
        <v>18</v>
      </c>
      <c r="Q1035">
        <v>12</v>
      </c>
      <c r="R1035">
        <v>11</v>
      </c>
      <c r="T1035" s="13">
        <f t="shared" si="18"/>
        <v>73</v>
      </c>
      <c r="U1035" t="s">
        <v>26</v>
      </c>
    </row>
    <row r="1036" spans="1:22" x14ac:dyDescent="0.3">
      <c r="A1036">
        <v>16</v>
      </c>
      <c r="B1036">
        <v>5</v>
      </c>
      <c r="C1036">
        <v>207713</v>
      </c>
      <c r="D1036" t="s">
        <v>58</v>
      </c>
      <c r="E1036" s="10">
        <v>44098</v>
      </c>
      <c r="F1036" t="s">
        <v>23</v>
      </c>
      <c r="G1036" s="3" t="s">
        <v>90</v>
      </c>
      <c r="H1036" t="s">
        <v>31</v>
      </c>
      <c r="P1036">
        <v>1</v>
      </c>
      <c r="Q1036">
        <v>3</v>
      </c>
      <c r="T1036" s="13">
        <f t="shared" si="18"/>
        <v>4</v>
      </c>
      <c r="U1036" t="s">
        <v>26</v>
      </c>
    </row>
    <row r="1037" spans="1:22" x14ac:dyDescent="0.3">
      <c r="A1037">
        <v>16</v>
      </c>
      <c r="B1037">
        <v>5</v>
      </c>
      <c r="C1037">
        <v>207713</v>
      </c>
      <c r="D1037" t="s">
        <v>58</v>
      </c>
      <c r="E1037" s="10">
        <v>44098</v>
      </c>
      <c r="F1037" t="s">
        <v>23</v>
      </c>
      <c r="G1037" s="3" t="s">
        <v>90</v>
      </c>
      <c r="H1037" t="s">
        <v>34</v>
      </c>
      <c r="Q1037">
        <v>1</v>
      </c>
      <c r="R1037">
        <v>1</v>
      </c>
      <c r="T1037" s="13">
        <f t="shared" si="18"/>
        <v>2</v>
      </c>
      <c r="U1037" t="s">
        <v>26</v>
      </c>
    </row>
    <row r="1038" spans="1:22" x14ac:dyDescent="0.3">
      <c r="A1038">
        <v>16</v>
      </c>
      <c r="B1038">
        <v>5</v>
      </c>
      <c r="C1038">
        <v>207713</v>
      </c>
      <c r="D1038" t="s">
        <v>58</v>
      </c>
      <c r="E1038" s="10">
        <v>44098</v>
      </c>
      <c r="F1038" t="s">
        <v>23</v>
      </c>
      <c r="G1038" s="3" t="s">
        <v>90</v>
      </c>
      <c r="H1038" t="s">
        <v>55</v>
      </c>
      <c r="S1038">
        <v>1</v>
      </c>
      <c r="T1038" s="13">
        <f t="shared" si="18"/>
        <v>1</v>
      </c>
      <c r="U1038" t="s">
        <v>26</v>
      </c>
    </row>
    <row r="1039" spans="1:22" x14ac:dyDescent="0.3">
      <c r="A1039">
        <v>16</v>
      </c>
      <c r="B1039">
        <v>5</v>
      </c>
      <c r="C1039">
        <v>207713</v>
      </c>
      <c r="D1039" t="s">
        <v>58</v>
      </c>
      <c r="E1039" s="10">
        <v>44098</v>
      </c>
      <c r="F1039" t="s">
        <v>23</v>
      </c>
      <c r="G1039" s="3" t="s">
        <v>90</v>
      </c>
      <c r="H1039" t="s">
        <v>41</v>
      </c>
      <c r="S1039">
        <v>2</v>
      </c>
      <c r="T1039" s="13">
        <f t="shared" si="18"/>
        <v>2</v>
      </c>
      <c r="U1039" t="s">
        <v>26</v>
      </c>
    </row>
    <row r="1040" spans="1:22" x14ac:dyDescent="0.3">
      <c r="A1040">
        <v>16</v>
      </c>
      <c r="B1040">
        <v>5</v>
      </c>
      <c r="C1040">
        <v>207713</v>
      </c>
      <c r="D1040" t="s">
        <v>58</v>
      </c>
      <c r="E1040" s="10">
        <v>44098</v>
      </c>
      <c r="F1040" t="s">
        <v>23</v>
      </c>
      <c r="G1040" s="3" t="s">
        <v>90</v>
      </c>
      <c r="H1040" t="s">
        <v>33</v>
      </c>
      <c r="S1040">
        <v>1</v>
      </c>
      <c r="T1040" s="13">
        <f t="shared" si="18"/>
        <v>1</v>
      </c>
      <c r="U1040" t="s">
        <v>26</v>
      </c>
    </row>
    <row r="1041" spans="1:22" x14ac:dyDescent="0.3">
      <c r="A1041">
        <v>16</v>
      </c>
      <c r="B1041">
        <v>5</v>
      </c>
      <c r="C1041">
        <v>207713</v>
      </c>
      <c r="D1041" t="s">
        <v>58</v>
      </c>
      <c r="E1041" s="10">
        <v>44098</v>
      </c>
      <c r="F1041" t="s">
        <v>23</v>
      </c>
      <c r="G1041" s="3" t="s">
        <v>90</v>
      </c>
      <c r="H1041" t="s">
        <v>46</v>
      </c>
      <c r="K1041">
        <v>9</v>
      </c>
      <c r="Q1041">
        <v>17</v>
      </c>
      <c r="R1041">
        <v>1</v>
      </c>
      <c r="T1041" s="13">
        <f t="shared" si="18"/>
        <v>27</v>
      </c>
      <c r="U1041" t="s">
        <v>26</v>
      </c>
    </row>
    <row r="1042" spans="1:22" s="5" customFormat="1" ht="16.2" thickBot="1" x14ac:dyDescent="0.35">
      <c r="A1042" s="5">
        <v>16</v>
      </c>
      <c r="B1042" s="5">
        <v>5</v>
      </c>
      <c r="C1042" s="5">
        <v>207713</v>
      </c>
      <c r="D1042" s="5" t="s">
        <v>58</v>
      </c>
      <c r="E1042" s="11">
        <v>44098</v>
      </c>
      <c r="F1042" s="5" t="s">
        <v>23</v>
      </c>
      <c r="G1042" s="6" t="s">
        <v>90</v>
      </c>
      <c r="H1042" s="5" t="s">
        <v>74</v>
      </c>
      <c r="Q1042" s="5">
        <v>1</v>
      </c>
      <c r="T1042" s="12">
        <f t="shared" si="18"/>
        <v>1</v>
      </c>
      <c r="U1042" s="5" t="s">
        <v>26</v>
      </c>
      <c r="V1042" s="14"/>
    </row>
    <row r="1043" spans="1:22" x14ac:dyDescent="0.3">
      <c r="A1043">
        <v>17</v>
      </c>
      <c r="B1043">
        <v>1</v>
      </c>
      <c r="C1043">
        <v>207714</v>
      </c>
      <c r="D1043" t="s">
        <v>58</v>
      </c>
      <c r="E1043" s="10">
        <v>44098</v>
      </c>
      <c r="F1043" t="s">
        <v>23</v>
      </c>
      <c r="G1043" s="3" t="s">
        <v>73</v>
      </c>
      <c r="H1043" t="s">
        <v>186</v>
      </c>
      <c r="P1043">
        <v>3</v>
      </c>
      <c r="T1043" s="13">
        <f t="shared" si="18"/>
        <v>3</v>
      </c>
      <c r="U1043" t="s">
        <v>26</v>
      </c>
    </row>
    <row r="1044" spans="1:22" x14ac:dyDescent="0.3">
      <c r="A1044">
        <v>17</v>
      </c>
      <c r="B1044">
        <v>1</v>
      </c>
      <c r="C1044">
        <v>207714</v>
      </c>
      <c r="D1044" t="s">
        <v>58</v>
      </c>
      <c r="E1044" s="10">
        <v>44098</v>
      </c>
      <c r="F1044" t="s">
        <v>23</v>
      </c>
      <c r="G1044" s="3" t="s">
        <v>73</v>
      </c>
      <c r="H1044" t="s">
        <v>25</v>
      </c>
      <c r="O1044">
        <v>8</v>
      </c>
      <c r="P1044">
        <v>141</v>
      </c>
      <c r="Q1044">
        <v>1</v>
      </c>
      <c r="T1044" s="13">
        <f t="shared" si="18"/>
        <v>150</v>
      </c>
      <c r="U1044" t="s">
        <v>26</v>
      </c>
    </row>
    <row r="1045" spans="1:22" x14ac:dyDescent="0.3">
      <c r="A1045">
        <v>17</v>
      </c>
      <c r="B1045">
        <v>1</v>
      </c>
      <c r="C1045">
        <v>207714</v>
      </c>
      <c r="D1045" t="s">
        <v>58</v>
      </c>
      <c r="E1045" s="10">
        <v>44098</v>
      </c>
      <c r="F1045" t="s">
        <v>23</v>
      </c>
      <c r="G1045" s="3" t="s">
        <v>73</v>
      </c>
      <c r="H1045" t="s">
        <v>27</v>
      </c>
      <c r="O1045">
        <v>1</v>
      </c>
      <c r="P1045">
        <v>5</v>
      </c>
      <c r="T1045" s="13">
        <f t="shared" si="18"/>
        <v>6</v>
      </c>
      <c r="U1045" t="s">
        <v>26</v>
      </c>
    </row>
    <row r="1046" spans="1:22" x14ac:dyDescent="0.3">
      <c r="A1046">
        <v>17</v>
      </c>
      <c r="B1046">
        <v>1</v>
      </c>
      <c r="C1046">
        <v>207714</v>
      </c>
      <c r="D1046" t="s">
        <v>58</v>
      </c>
      <c r="E1046" s="10">
        <v>44098</v>
      </c>
      <c r="F1046" t="s">
        <v>23</v>
      </c>
      <c r="G1046" s="3" t="s">
        <v>73</v>
      </c>
      <c r="H1046" t="s">
        <v>274</v>
      </c>
      <c r="S1046">
        <v>3</v>
      </c>
      <c r="T1046" s="13">
        <f t="shared" si="18"/>
        <v>3</v>
      </c>
      <c r="U1046" t="s">
        <v>26</v>
      </c>
    </row>
    <row r="1047" spans="1:22" x14ac:dyDescent="0.3">
      <c r="A1047">
        <v>17</v>
      </c>
      <c r="B1047">
        <v>1</v>
      </c>
      <c r="C1047">
        <v>207714</v>
      </c>
      <c r="D1047" t="s">
        <v>58</v>
      </c>
      <c r="E1047" s="10">
        <v>44098</v>
      </c>
      <c r="F1047" t="s">
        <v>23</v>
      </c>
      <c r="G1047" s="3" t="s">
        <v>73</v>
      </c>
      <c r="H1047" t="s">
        <v>60</v>
      </c>
      <c r="S1047">
        <v>26</v>
      </c>
      <c r="T1047" s="13">
        <f t="shared" si="18"/>
        <v>26</v>
      </c>
      <c r="U1047" t="s">
        <v>26</v>
      </c>
    </row>
    <row r="1048" spans="1:22" x14ac:dyDescent="0.3">
      <c r="A1048">
        <v>17</v>
      </c>
      <c r="B1048">
        <v>1</v>
      </c>
      <c r="C1048">
        <v>207714</v>
      </c>
      <c r="D1048" t="s">
        <v>58</v>
      </c>
      <c r="E1048" s="10">
        <v>44098</v>
      </c>
      <c r="F1048" t="s">
        <v>23</v>
      </c>
      <c r="G1048" s="3" t="s">
        <v>73</v>
      </c>
      <c r="H1048" t="s">
        <v>89</v>
      </c>
      <c r="S1048">
        <v>1</v>
      </c>
      <c r="T1048" s="13">
        <f t="shared" si="18"/>
        <v>1</v>
      </c>
      <c r="U1048" t="s">
        <v>26</v>
      </c>
    </row>
    <row r="1049" spans="1:22" x14ac:dyDescent="0.3">
      <c r="A1049">
        <v>17</v>
      </c>
      <c r="B1049">
        <v>1</v>
      </c>
      <c r="C1049">
        <v>207714</v>
      </c>
      <c r="D1049" t="s">
        <v>58</v>
      </c>
      <c r="E1049" s="10">
        <v>44098</v>
      </c>
      <c r="F1049" t="s">
        <v>23</v>
      </c>
      <c r="G1049" s="3" t="s">
        <v>73</v>
      </c>
      <c r="H1049" t="s">
        <v>69</v>
      </c>
      <c r="I1049">
        <v>1</v>
      </c>
      <c r="T1049" s="13">
        <f t="shared" si="18"/>
        <v>1</v>
      </c>
      <c r="U1049" t="s">
        <v>26</v>
      </c>
    </row>
    <row r="1050" spans="1:22" x14ac:dyDescent="0.3">
      <c r="A1050">
        <v>17</v>
      </c>
      <c r="B1050">
        <v>1</v>
      </c>
      <c r="C1050">
        <v>207714</v>
      </c>
      <c r="D1050" t="s">
        <v>58</v>
      </c>
      <c r="E1050" s="10">
        <v>44098</v>
      </c>
      <c r="F1050" t="s">
        <v>23</v>
      </c>
      <c r="G1050" s="3" t="s">
        <v>73</v>
      </c>
      <c r="H1050" t="s">
        <v>30</v>
      </c>
      <c r="I1050">
        <v>3</v>
      </c>
      <c r="T1050" s="13">
        <f t="shared" si="18"/>
        <v>3</v>
      </c>
      <c r="U1050" t="s">
        <v>26</v>
      </c>
    </row>
    <row r="1051" spans="1:22" x14ac:dyDescent="0.3">
      <c r="A1051">
        <v>17</v>
      </c>
      <c r="B1051">
        <v>1</v>
      </c>
      <c r="C1051">
        <v>207714</v>
      </c>
      <c r="D1051" t="s">
        <v>58</v>
      </c>
      <c r="E1051" s="10">
        <v>44098</v>
      </c>
      <c r="F1051" t="s">
        <v>23</v>
      </c>
      <c r="G1051" s="3" t="s">
        <v>73</v>
      </c>
      <c r="H1051" t="s">
        <v>34</v>
      </c>
      <c r="Q1051">
        <v>4</v>
      </c>
      <c r="R1051">
        <v>14</v>
      </c>
      <c r="T1051" s="13">
        <f t="shared" si="18"/>
        <v>18</v>
      </c>
      <c r="U1051" t="s">
        <v>26</v>
      </c>
    </row>
    <row r="1052" spans="1:22" x14ac:dyDescent="0.3">
      <c r="A1052">
        <v>17</v>
      </c>
      <c r="B1052">
        <v>1</v>
      </c>
      <c r="C1052">
        <v>207714</v>
      </c>
      <c r="D1052" t="s">
        <v>58</v>
      </c>
      <c r="E1052" s="10">
        <v>44098</v>
      </c>
      <c r="F1052" t="s">
        <v>23</v>
      </c>
      <c r="G1052" s="3" t="s">
        <v>73</v>
      </c>
      <c r="H1052" t="s">
        <v>62</v>
      </c>
      <c r="R1052">
        <v>1</v>
      </c>
      <c r="T1052" s="13">
        <f t="shared" si="18"/>
        <v>1</v>
      </c>
      <c r="U1052" t="s">
        <v>26</v>
      </c>
      <c r="V1052" s="15" t="s">
        <v>91</v>
      </c>
    </row>
    <row r="1053" spans="1:22" x14ac:dyDescent="0.3">
      <c r="A1053">
        <v>17</v>
      </c>
      <c r="B1053">
        <v>1</v>
      </c>
      <c r="C1053">
        <v>207714</v>
      </c>
      <c r="D1053" t="s">
        <v>58</v>
      </c>
      <c r="E1053" s="10">
        <v>44098</v>
      </c>
      <c r="F1053" t="s">
        <v>23</v>
      </c>
      <c r="G1053" s="3" t="s">
        <v>73</v>
      </c>
      <c r="H1053" t="s">
        <v>32</v>
      </c>
      <c r="O1053">
        <v>1</v>
      </c>
      <c r="P1053">
        <v>1</v>
      </c>
      <c r="T1053" s="13">
        <f t="shared" si="18"/>
        <v>2</v>
      </c>
      <c r="U1053" t="s">
        <v>26</v>
      </c>
    </row>
    <row r="1054" spans="1:22" x14ac:dyDescent="0.3">
      <c r="A1054">
        <v>17</v>
      </c>
      <c r="B1054">
        <v>1</v>
      </c>
      <c r="C1054">
        <v>207714</v>
      </c>
      <c r="D1054" t="s">
        <v>58</v>
      </c>
      <c r="E1054" s="10">
        <v>44098</v>
      </c>
      <c r="F1054" t="s">
        <v>23</v>
      </c>
      <c r="G1054" s="3" t="s">
        <v>73</v>
      </c>
      <c r="H1054" t="s">
        <v>31</v>
      </c>
      <c r="P1054">
        <v>2</v>
      </c>
      <c r="T1054" s="13">
        <f t="shared" si="18"/>
        <v>2</v>
      </c>
      <c r="U1054" t="s">
        <v>26</v>
      </c>
    </row>
    <row r="1055" spans="1:22" x14ac:dyDescent="0.3">
      <c r="A1055">
        <v>17</v>
      </c>
      <c r="B1055">
        <v>1</v>
      </c>
      <c r="C1055">
        <v>207714</v>
      </c>
      <c r="D1055" t="s">
        <v>58</v>
      </c>
      <c r="E1055" s="10">
        <v>44098</v>
      </c>
      <c r="F1055" t="s">
        <v>23</v>
      </c>
      <c r="G1055" s="3" t="s">
        <v>73</v>
      </c>
      <c r="H1055" t="s">
        <v>43</v>
      </c>
      <c r="R1055">
        <v>1</v>
      </c>
      <c r="T1055" s="13">
        <f t="shared" si="18"/>
        <v>1</v>
      </c>
      <c r="U1055" t="s">
        <v>26</v>
      </c>
    </row>
    <row r="1056" spans="1:22" x14ac:dyDescent="0.3">
      <c r="A1056">
        <v>17</v>
      </c>
      <c r="B1056">
        <v>1</v>
      </c>
      <c r="C1056">
        <v>207714</v>
      </c>
      <c r="D1056" t="s">
        <v>58</v>
      </c>
      <c r="E1056" s="10">
        <v>44098</v>
      </c>
      <c r="F1056" t="s">
        <v>23</v>
      </c>
      <c r="G1056" s="3" t="s">
        <v>73</v>
      </c>
      <c r="H1056" t="s">
        <v>51</v>
      </c>
      <c r="S1056">
        <v>1</v>
      </c>
      <c r="T1056" s="13">
        <f t="shared" si="18"/>
        <v>1</v>
      </c>
      <c r="U1056" t="s">
        <v>26</v>
      </c>
    </row>
    <row r="1057" spans="1:22" x14ac:dyDescent="0.3">
      <c r="A1057">
        <v>17</v>
      </c>
      <c r="B1057">
        <v>1</v>
      </c>
      <c r="C1057">
        <v>207714</v>
      </c>
      <c r="D1057" t="s">
        <v>58</v>
      </c>
      <c r="E1057" s="10">
        <v>44098</v>
      </c>
      <c r="F1057" t="s">
        <v>23</v>
      </c>
      <c r="G1057" s="3" t="s">
        <v>73</v>
      </c>
      <c r="H1057" t="s">
        <v>79</v>
      </c>
      <c r="S1057">
        <v>5</v>
      </c>
      <c r="T1057" s="13">
        <f t="shared" si="18"/>
        <v>5</v>
      </c>
      <c r="U1057" t="s">
        <v>26</v>
      </c>
    </row>
    <row r="1058" spans="1:22" x14ac:dyDescent="0.3">
      <c r="A1058">
        <v>17</v>
      </c>
      <c r="B1058">
        <v>1</v>
      </c>
      <c r="C1058">
        <v>207714</v>
      </c>
      <c r="D1058" t="s">
        <v>58</v>
      </c>
      <c r="E1058" s="10">
        <v>44098</v>
      </c>
      <c r="F1058" t="s">
        <v>23</v>
      </c>
      <c r="G1058" s="3" t="s">
        <v>73</v>
      </c>
      <c r="H1058" t="s">
        <v>41</v>
      </c>
      <c r="S1058">
        <v>4</v>
      </c>
      <c r="T1058" s="13">
        <f t="shared" si="18"/>
        <v>4</v>
      </c>
      <c r="U1058" t="s">
        <v>26</v>
      </c>
    </row>
    <row r="1059" spans="1:22" x14ac:dyDescent="0.3">
      <c r="A1059">
        <v>17</v>
      </c>
      <c r="B1059">
        <v>1</v>
      </c>
      <c r="C1059">
        <v>207714</v>
      </c>
      <c r="D1059" t="s">
        <v>58</v>
      </c>
      <c r="E1059" s="10">
        <v>44098</v>
      </c>
      <c r="F1059" t="s">
        <v>23</v>
      </c>
      <c r="G1059" s="3" t="s">
        <v>73</v>
      </c>
      <c r="H1059" t="s">
        <v>45</v>
      </c>
      <c r="K1059">
        <v>3</v>
      </c>
      <c r="T1059" s="13">
        <f t="shared" si="18"/>
        <v>3</v>
      </c>
      <c r="U1059" t="s">
        <v>26</v>
      </c>
    </row>
    <row r="1060" spans="1:22" x14ac:dyDescent="0.3">
      <c r="A1060">
        <v>17</v>
      </c>
      <c r="B1060">
        <v>1</v>
      </c>
      <c r="C1060">
        <v>207714</v>
      </c>
      <c r="D1060" t="s">
        <v>58</v>
      </c>
      <c r="E1060" s="10">
        <v>44098</v>
      </c>
      <c r="F1060" t="s">
        <v>23</v>
      </c>
      <c r="G1060" s="3" t="s">
        <v>73</v>
      </c>
      <c r="H1060" t="s">
        <v>63</v>
      </c>
      <c r="I1060">
        <v>1</v>
      </c>
      <c r="T1060" s="13">
        <f t="shared" si="18"/>
        <v>1</v>
      </c>
      <c r="U1060" t="s">
        <v>26</v>
      </c>
    </row>
    <row r="1061" spans="1:22" x14ac:dyDescent="0.3">
      <c r="A1061">
        <v>17</v>
      </c>
      <c r="B1061">
        <v>1</v>
      </c>
      <c r="C1061">
        <v>207714</v>
      </c>
      <c r="D1061" t="s">
        <v>58</v>
      </c>
      <c r="E1061" s="10">
        <v>44098</v>
      </c>
      <c r="F1061" t="s">
        <v>23</v>
      </c>
      <c r="G1061" s="3" t="s">
        <v>73</v>
      </c>
      <c r="H1061" t="s">
        <v>235</v>
      </c>
      <c r="S1061">
        <v>1</v>
      </c>
      <c r="T1061" s="13">
        <f t="shared" si="18"/>
        <v>1</v>
      </c>
      <c r="U1061" t="s">
        <v>26</v>
      </c>
    </row>
    <row r="1062" spans="1:22" x14ac:dyDescent="0.3">
      <c r="A1062">
        <v>17</v>
      </c>
      <c r="B1062">
        <v>1</v>
      </c>
      <c r="C1062">
        <v>207714</v>
      </c>
      <c r="D1062" t="s">
        <v>58</v>
      </c>
      <c r="E1062" s="10">
        <v>44098</v>
      </c>
      <c r="F1062" t="s">
        <v>23</v>
      </c>
      <c r="G1062" s="3" t="s">
        <v>52</v>
      </c>
      <c r="H1062" t="s">
        <v>25</v>
      </c>
      <c r="O1062">
        <v>2</v>
      </c>
      <c r="P1062">
        <v>6</v>
      </c>
      <c r="T1062" s="13">
        <f t="shared" si="18"/>
        <v>8</v>
      </c>
      <c r="U1062" t="s">
        <v>26</v>
      </c>
    </row>
    <row r="1063" spans="1:22" x14ac:dyDescent="0.3">
      <c r="A1063">
        <v>17</v>
      </c>
      <c r="B1063">
        <v>1</v>
      </c>
      <c r="C1063">
        <v>207714</v>
      </c>
      <c r="D1063" t="s">
        <v>58</v>
      </c>
      <c r="E1063" s="10">
        <v>44098</v>
      </c>
      <c r="F1063" t="s">
        <v>23</v>
      </c>
      <c r="G1063" s="3" t="s">
        <v>52</v>
      </c>
      <c r="H1063" t="s">
        <v>51</v>
      </c>
      <c r="S1063">
        <v>1</v>
      </c>
      <c r="T1063" s="13">
        <f t="shared" si="18"/>
        <v>1</v>
      </c>
      <c r="U1063" t="s">
        <v>26</v>
      </c>
    </row>
    <row r="1064" spans="1:22" x14ac:dyDescent="0.3">
      <c r="A1064">
        <v>17</v>
      </c>
      <c r="B1064">
        <v>1</v>
      </c>
      <c r="C1064">
        <v>207714</v>
      </c>
      <c r="D1064" t="s">
        <v>58</v>
      </c>
      <c r="E1064" s="10">
        <v>44098</v>
      </c>
      <c r="F1064" t="s">
        <v>23</v>
      </c>
      <c r="G1064" s="3" t="s">
        <v>52</v>
      </c>
      <c r="H1064" t="s">
        <v>34</v>
      </c>
      <c r="R1064">
        <v>1</v>
      </c>
      <c r="T1064" s="13">
        <f t="shared" si="18"/>
        <v>1</v>
      </c>
      <c r="U1064" t="s">
        <v>26</v>
      </c>
    </row>
    <row r="1065" spans="1:22" x14ac:dyDescent="0.3">
      <c r="A1065">
        <v>17</v>
      </c>
      <c r="B1065">
        <v>1</v>
      </c>
      <c r="C1065">
        <v>207714</v>
      </c>
      <c r="D1065" t="s">
        <v>58</v>
      </c>
      <c r="E1065" s="10">
        <v>44098</v>
      </c>
      <c r="F1065" t="s">
        <v>23</v>
      </c>
      <c r="G1065" s="3" t="s">
        <v>52</v>
      </c>
      <c r="H1065" t="s">
        <v>29</v>
      </c>
      <c r="S1065">
        <v>1</v>
      </c>
      <c r="T1065" s="13">
        <f t="shared" si="18"/>
        <v>1</v>
      </c>
      <c r="U1065" t="s">
        <v>26</v>
      </c>
    </row>
    <row r="1066" spans="1:22" x14ac:dyDescent="0.3">
      <c r="A1066">
        <v>17</v>
      </c>
      <c r="B1066">
        <v>1</v>
      </c>
      <c r="C1066">
        <v>207714</v>
      </c>
      <c r="D1066" t="s">
        <v>58</v>
      </c>
      <c r="E1066" s="10">
        <v>44098</v>
      </c>
      <c r="F1066" t="s">
        <v>23</v>
      </c>
      <c r="G1066" s="3" t="s">
        <v>52</v>
      </c>
      <c r="H1066" t="s">
        <v>67</v>
      </c>
      <c r="R1066">
        <v>1</v>
      </c>
      <c r="T1066" s="13">
        <f t="shared" si="18"/>
        <v>1</v>
      </c>
      <c r="U1066" t="s">
        <v>26</v>
      </c>
    </row>
    <row r="1067" spans="1:22" x14ac:dyDescent="0.3">
      <c r="A1067">
        <v>17</v>
      </c>
      <c r="B1067">
        <v>1</v>
      </c>
      <c r="C1067">
        <v>207714</v>
      </c>
      <c r="D1067" t="s">
        <v>58</v>
      </c>
      <c r="E1067" s="10">
        <v>44098</v>
      </c>
      <c r="F1067" t="s">
        <v>23</v>
      </c>
      <c r="G1067" s="3" t="s">
        <v>52</v>
      </c>
      <c r="H1067" t="s">
        <v>238</v>
      </c>
      <c r="S1067">
        <v>2</v>
      </c>
      <c r="T1067" s="13">
        <f t="shared" si="18"/>
        <v>2</v>
      </c>
      <c r="U1067" t="s">
        <v>53</v>
      </c>
    </row>
    <row r="1068" spans="1:22" x14ac:dyDescent="0.3">
      <c r="A1068">
        <v>17</v>
      </c>
      <c r="B1068">
        <v>1</v>
      </c>
      <c r="C1068">
        <v>207714</v>
      </c>
      <c r="D1068" t="s">
        <v>58</v>
      </c>
      <c r="E1068" s="10">
        <v>44098</v>
      </c>
      <c r="F1068" t="s">
        <v>23</v>
      </c>
      <c r="G1068" s="3" t="s">
        <v>52</v>
      </c>
      <c r="H1068" t="s">
        <v>82</v>
      </c>
      <c r="S1068">
        <v>3</v>
      </c>
      <c r="T1068" s="13">
        <f t="shared" si="18"/>
        <v>3</v>
      </c>
      <c r="U1068" t="s">
        <v>53</v>
      </c>
    </row>
    <row r="1069" spans="1:22" x14ac:dyDescent="0.3">
      <c r="A1069">
        <v>17</v>
      </c>
      <c r="B1069">
        <v>1</v>
      </c>
      <c r="C1069">
        <v>207714</v>
      </c>
      <c r="D1069" t="s">
        <v>58</v>
      </c>
      <c r="E1069" s="10">
        <v>44098</v>
      </c>
      <c r="F1069" t="s">
        <v>23</v>
      </c>
      <c r="G1069" s="3" t="s">
        <v>52</v>
      </c>
      <c r="H1069" t="s">
        <v>60</v>
      </c>
      <c r="S1069">
        <v>3</v>
      </c>
      <c r="T1069" s="13">
        <f t="shared" si="18"/>
        <v>3</v>
      </c>
      <c r="U1069" t="s">
        <v>53</v>
      </c>
      <c r="V1069" s="15" t="s">
        <v>92</v>
      </c>
    </row>
    <row r="1070" spans="1:22" x14ac:dyDescent="0.3">
      <c r="A1070">
        <v>17</v>
      </c>
      <c r="B1070">
        <v>1</v>
      </c>
      <c r="C1070">
        <v>207714</v>
      </c>
      <c r="D1070" t="s">
        <v>58</v>
      </c>
      <c r="E1070" s="10">
        <v>44098</v>
      </c>
      <c r="F1070" t="s">
        <v>23</v>
      </c>
      <c r="G1070" s="3" t="s">
        <v>52</v>
      </c>
      <c r="H1070" t="s">
        <v>64</v>
      </c>
      <c r="S1070">
        <v>4</v>
      </c>
      <c r="T1070" s="13">
        <f t="shared" si="18"/>
        <v>4</v>
      </c>
      <c r="U1070" t="s">
        <v>53</v>
      </c>
    </row>
    <row r="1071" spans="1:22" x14ac:dyDescent="0.3">
      <c r="A1071">
        <v>17</v>
      </c>
      <c r="B1071">
        <v>1</v>
      </c>
      <c r="C1071">
        <v>207714</v>
      </c>
      <c r="D1071" t="s">
        <v>58</v>
      </c>
      <c r="E1071" s="10">
        <v>44098</v>
      </c>
      <c r="F1071" t="s">
        <v>23</v>
      </c>
      <c r="G1071" s="3" t="s">
        <v>52</v>
      </c>
      <c r="H1071" t="s">
        <v>86</v>
      </c>
      <c r="S1071">
        <v>1</v>
      </c>
      <c r="T1071" s="13">
        <f t="shared" si="18"/>
        <v>1</v>
      </c>
      <c r="U1071" t="s">
        <v>53</v>
      </c>
      <c r="V1071" s="15" t="s">
        <v>93</v>
      </c>
    </row>
    <row r="1072" spans="1:22" s="5" customFormat="1" ht="16.2" thickBot="1" x14ac:dyDescent="0.35">
      <c r="A1072" s="5">
        <v>17</v>
      </c>
      <c r="B1072" s="5">
        <v>1</v>
      </c>
      <c r="C1072" s="5">
        <v>207714</v>
      </c>
      <c r="D1072" s="5" t="s">
        <v>58</v>
      </c>
      <c r="E1072" s="11">
        <v>44098</v>
      </c>
      <c r="F1072" s="5" t="s">
        <v>23</v>
      </c>
      <c r="G1072" s="6" t="s">
        <v>52</v>
      </c>
      <c r="H1072" s="5" t="s">
        <v>89</v>
      </c>
      <c r="S1072" s="5">
        <v>1</v>
      </c>
      <c r="T1072" s="12">
        <f t="shared" si="18"/>
        <v>1</v>
      </c>
      <c r="U1072" s="5" t="s">
        <v>53</v>
      </c>
      <c r="V1072" s="14"/>
    </row>
    <row r="1073" spans="1:21" x14ac:dyDescent="0.3">
      <c r="A1073">
        <v>17</v>
      </c>
      <c r="B1073">
        <v>2</v>
      </c>
      <c r="C1073">
        <v>207715</v>
      </c>
      <c r="D1073" t="s">
        <v>58</v>
      </c>
      <c r="E1073" s="10">
        <v>44098</v>
      </c>
      <c r="F1073" t="s">
        <v>23</v>
      </c>
      <c r="G1073" s="3" t="s">
        <v>28</v>
      </c>
      <c r="H1073" t="s">
        <v>25</v>
      </c>
      <c r="O1073">
        <v>10</v>
      </c>
      <c r="P1073">
        <v>164</v>
      </c>
      <c r="Q1073">
        <v>2</v>
      </c>
      <c r="T1073" s="13">
        <f t="shared" si="18"/>
        <v>176</v>
      </c>
      <c r="U1073" t="s">
        <v>26</v>
      </c>
    </row>
    <row r="1074" spans="1:21" x14ac:dyDescent="0.3">
      <c r="A1074">
        <v>17</v>
      </c>
      <c r="B1074">
        <v>2</v>
      </c>
      <c r="C1074">
        <v>207715</v>
      </c>
      <c r="D1074" t="s">
        <v>58</v>
      </c>
      <c r="E1074" s="10">
        <v>44098</v>
      </c>
      <c r="F1074" t="s">
        <v>23</v>
      </c>
      <c r="G1074" s="3" t="s">
        <v>28</v>
      </c>
      <c r="H1074" t="s">
        <v>27</v>
      </c>
      <c r="O1074">
        <v>1</v>
      </c>
      <c r="P1074">
        <v>3</v>
      </c>
      <c r="T1074" s="13">
        <f t="shared" si="18"/>
        <v>4</v>
      </c>
      <c r="U1074" t="s">
        <v>26</v>
      </c>
    </row>
    <row r="1075" spans="1:21" x14ac:dyDescent="0.3">
      <c r="A1075">
        <v>17</v>
      </c>
      <c r="B1075">
        <v>2</v>
      </c>
      <c r="C1075">
        <v>207715</v>
      </c>
      <c r="D1075" t="s">
        <v>58</v>
      </c>
      <c r="E1075" s="10">
        <v>44098</v>
      </c>
      <c r="F1075" t="s">
        <v>23</v>
      </c>
      <c r="G1075" s="3" t="s">
        <v>28</v>
      </c>
      <c r="H1075" t="s">
        <v>30</v>
      </c>
      <c r="I1075">
        <v>3</v>
      </c>
      <c r="J1075">
        <v>5</v>
      </c>
      <c r="T1075" s="13">
        <f t="shared" si="18"/>
        <v>8</v>
      </c>
      <c r="U1075" t="s">
        <v>26</v>
      </c>
    </row>
    <row r="1076" spans="1:21" x14ac:dyDescent="0.3">
      <c r="A1076">
        <v>17</v>
      </c>
      <c r="B1076">
        <v>2</v>
      </c>
      <c r="C1076">
        <v>207715</v>
      </c>
      <c r="D1076" t="s">
        <v>58</v>
      </c>
      <c r="E1076" s="10">
        <v>44098</v>
      </c>
      <c r="F1076" t="s">
        <v>23</v>
      </c>
      <c r="G1076" s="3" t="s">
        <v>28</v>
      </c>
      <c r="H1076" t="s">
        <v>274</v>
      </c>
      <c r="S1076">
        <v>4</v>
      </c>
      <c r="T1076" s="13">
        <f t="shared" ref="T1076:T1140" si="19">SUM(I1076:S1076)</f>
        <v>4</v>
      </c>
      <c r="U1076" t="s">
        <v>26</v>
      </c>
    </row>
    <row r="1077" spans="1:21" x14ac:dyDescent="0.3">
      <c r="A1077">
        <v>17</v>
      </c>
      <c r="B1077">
        <v>2</v>
      </c>
      <c r="C1077">
        <v>207715</v>
      </c>
      <c r="D1077" t="s">
        <v>58</v>
      </c>
      <c r="E1077" s="10">
        <v>44098</v>
      </c>
      <c r="F1077" t="s">
        <v>23</v>
      </c>
      <c r="G1077" s="3" t="s">
        <v>28</v>
      </c>
      <c r="H1077" t="s">
        <v>60</v>
      </c>
      <c r="S1077">
        <v>21</v>
      </c>
      <c r="T1077" s="13">
        <f t="shared" si="19"/>
        <v>21</v>
      </c>
      <c r="U1077" t="s">
        <v>26</v>
      </c>
    </row>
    <row r="1078" spans="1:21" x14ac:dyDescent="0.3">
      <c r="A1078">
        <v>17</v>
      </c>
      <c r="B1078">
        <v>2</v>
      </c>
      <c r="C1078">
        <v>207715</v>
      </c>
      <c r="D1078" t="s">
        <v>58</v>
      </c>
      <c r="E1078" s="10">
        <v>44098</v>
      </c>
      <c r="F1078" t="s">
        <v>23</v>
      </c>
      <c r="G1078" s="3" t="s">
        <v>28</v>
      </c>
      <c r="H1078" t="s">
        <v>31</v>
      </c>
      <c r="P1078">
        <v>1</v>
      </c>
      <c r="Q1078">
        <v>1</v>
      </c>
      <c r="T1078" s="13">
        <f t="shared" si="19"/>
        <v>2</v>
      </c>
      <c r="U1078" t="s">
        <v>26</v>
      </c>
    </row>
    <row r="1079" spans="1:21" x14ac:dyDescent="0.3">
      <c r="A1079">
        <v>17</v>
      </c>
      <c r="B1079">
        <v>2</v>
      </c>
      <c r="C1079">
        <v>207715</v>
      </c>
      <c r="D1079" t="s">
        <v>58</v>
      </c>
      <c r="E1079" s="10">
        <v>44098</v>
      </c>
      <c r="F1079" t="s">
        <v>23</v>
      </c>
      <c r="G1079" s="3" t="s">
        <v>28</v>
      </c>
      <c r="H1079" t="s">
        <v>37</v>
      </c>
      <c r="O1079">
        <v>1</v>
      </c>
      <c r="Q1079">
        <v>4</v>
      </c>
      <c r="T1079" s="13">
        <f t="shared" si="19"/>
        <v>5</v>
      </c>
      <c r="U1079" t="s">
        <v>26</v>
      </c>
    </row>
    <row r="1080" spans="1:21" x14ac:dyDescent="0.3">
      <c r="A1080">
        <v>17</v>
      </c>
      <c r="B1080">
        <v>2</v>
      </c>
      <c r="C1080">
        <v>207715</v>
      </c>
      <c r="D1080" t="s">
        <v>58</v>
      </c>
      <c r="E1080" s="10">
        <v>44098</v>
      </c>
      <c r="F1080" t="s">
        <v>23</v>
      </c>
      <c r="G1080" s="3" t="s">
        <v>28</v>
      </c>
      <c r="H1080" t="s">
        <v>38</v>
      </c>
      <c r="O1080">
        <v>1</v>
      </c>
      <c r="P1080">
        <v>2</v>
      </c>
      <c r="Q1080">
        <v>5</v>
      </c>
      <c r="R1080">
        <v>2</v>
      </c>
      <c r="T1080" s="13">
        <f t="shared" si="19"/>
        <v>10</v>
      </c>
      <c r="U1080" t="s">
        <v>26</v>
      </c>
    </row>
    <row r="1081" spans="1:21" x14ac:dyDescent="0.3">
      <c r="A1081">
        <v>17</v>
      </c>
      <c r="B1081">
        <v>2</v>
      </c>
      <c r="C1081">
        <v>207715</v>
      </c>
      <c r="D1081" t="s">
        <v>58</v>
      </c>
      <c r="E1081" s="10">
        <v>44098</v>
      </c>
      <c r="F1081" t="s">
        <v>23</v>
      </c>
      <c r="G1081" s="3" t="s">
        <v>28</v>
      </c>
      <c r="H1081" t="s">
        <v>34</v>
      </c>
      <c r="Q1081">
        <v>14</v>
      </c>
      <c r="R1081">
        <v>8</v>
      </c>
      <c r="T1081" s="13">
        <f t="shared" si="19"/>
        <v>22</v>
      </c>
      <c r="U1081" t="s">
        <v>26</v>
      </c>
    </row>
    <row r="1082" spans="1:21" x14ac:dyDescent="0.3">
      <c r="A1082">
        <v>17</v>
      </c>
      <c r="B1082">
        <v>2</v>
      </c>
      <c r="C1082">
        <v>207715</v>
      </c>
      <c r="D1082" t="s">
        <v>58</v>
      </c>
      <c r="E1082" s="10">
        <v>44098</v>
      </c>
      <c r="F1082" t="s">
        <v>23</v>
      </c>
      <c r="G1082" s="3" t="s">
        <v>28</v>
      </c>
      <c r="H1082" t="s">
        <v>35</v>
      </c>
      <c r="Q1082">
        <v>1</v>
      </c>
      <c r="T1082" s="13">
        <f t="shared" si="19"/>
        <v>1</v>
      </c>
      <c r="U1082" t="s">
        <v>26</v>
      </c>
    </row>
    <row r="1083" spans="1:21" x14ac:dyDescent="0.3">
      <c r="A1083">
        <v>17</v>
      </c>
      <c r="B1083">
        <v>2</v>
      </c>
      <c r="C1083">
        <v>207715</v>
      </c>
      <c r="D1083" t="s">
        <v>58</v>
      </c>
      <c r="E1083" s="10">
        <v>44098</v>
      </c>
      <c r="F1083" t="s">
        <v>23</v>
      </c>
      <c r="G1083" s="3" t="s">
        <v>28</v>
      </c>
      <c r="H1083" t="s">
        <v>63</v>
      </c>
      <c r="N1083">
        <v>1</v>
      </c>
      <c r="T1083" s="13">
        <f t="shared" si="19"/>
        <v>1</v>
      </c>
      <c r="U1083" t="s">
        <v>26</v>
      </c>
    </row>
    <row r="1084" spans="1:21" x14ac:dyDescent="0.3">
      <c r="A1084">
        <v>17</v>
      </c>
      <c r="B1084">
        <v>2</v>
      </c>
      <c r="C1084">
        <v>207715</v>
      </c>
      <c r="D1084" t="s">
        <v>58</v>
      </c>
      <c r="E1084" s="10">
        <v>44098</v>
      </c>
      <c r="F1084" t="s">
        <v>23</v>
      </c>
      <c r="G1084" s="3" t="s">
        <v>28</v>
      </c>
      <c r="H1084" t="s">
        <v>66</v>
      </c>
      <c r="O1084">
        <v>3</v>
      </c>
      <c r="T1084" s="13">
        <f t="shared" si="19"/>
        <v>3</v>
      </c>
      <c r="U1084" t="s">
        <v>26</v>
      </c>
    </row>
    <row r="1085" spans="1:21" x14ac:dyDescent="0.3">
      <c r="A1085">
        <v>17</v>
      </c>
      <c r="B1085">
        <v>2</v>
      </c>
      <c r="C1085">
        <v>207715</v>
      </c>
      <c r="D1085" t="s">
        <v>58</v>
      </c>
      <c r="E1085" s="10">
        <v>44098</v>
      </c>
      <c r="F1085" t="s">
        <v>23</v>
      </c>
      <c r="G1085" s="3" t="s">
        <v>28</v>
      </c>
      <c r="H1085" t="s">
        <v>43</v>
      </c>
      <c r="K1085">
        <v>4</v>
      </c>
      <c r="Q1085">
        <v>1</v>
      </c>
      <c r="T1085" s="13">
        <f t="shared" si="19"/>
        <v>5</v>
      </c>
      <c r="U1085" t="s">
        <v>26</v>
      </c>
    </row>
    <row r="1086" spans="1:21" x14ac:dyDescent="0.3">
      <c r="A1086">
        <v>17</v>
      </c>
      <c r="B1086">
        <v>2</v>
      </c>
      <c r="C1086">
        <v>207715</v>
      </c>
      <c r="D1086" t="s">
        <v>58</v>
      </c>
      <c r="E1086" s="10">
        <v>44098</v>
      </c>
      <c r="F1086" t="s">
        <v>23</v>
      </c>
      <c r="G1086" s="3" t="s">
        <v>28</v>
      </c>
      <c r="H1086" t="s">
        <v>79</v>
      </c>
      <c r="S1086">
        <v>1</v>
      </c>
      <c r="T1086" s="13">
        <f t="shared" si="19"/>
        <v>1</v>
      </c>
      <c r="U1086" t="s">
        <v>26</v>
      </c>
    </row>
    <row r="1087" spans="1:21" x14ac:dyDescent="0.3">
      <c r="A1087">
        <v>17</v>
      </c>
      <c r="B1087">
        <v>2</v>
      </c>
      <c r="C1087">
        <v>207715</v>
      </c>
      <c r="D1087" t="s">
        <v>58</v>
      </c>
      <c r="E1087" s="10">
        <v>44098</v>
      </c>
      <c r="F1087" t="s">
        <v>23</v>
      </c>
      <c r="G1087" s="3" t="s">
        <v>28</v>
      </c>
      <c r="H1087" t="s">
        <v>41</v>
      </c>
      <c r="S1087">
        <v>3</v>
      </c>
      <c r="T1087" s="13">
        <f t="shared" si="19"/>
        <v>3</v>
      </c>
      <c r="U1087" t="s">
        <v>26</v>
      </c>
    </row>
    <row r="1088" spans="1:21" x14ac:dyDescent="0.3">
      <c r="A1088">
        <v>17</v>
      </c>
      <c r="B1088">
        <v>2</v>
      </c>
      <c r="C1088">
        <v>207715</v>
      </c>
      <c r="D1088" t="s">
        <v>58</v>
      </c>
      <c r="E1088" s="10">
        <v>44098</v>
      </c>
      <c r="F1088" t="s">
        <v>23</v>
      </c>
      <c r="G1088" s="3" t="s">
        <v>28</v>
      </c>
      <c r="H1088" t="s">
        <v>46</v>
      </c>
      <c r="Q1088">
        <v>4</v>
      </c>
      <c r="R1088">
        <v>1</v>
      </c>
      <c r="T1088" s="13">
        <f t="shared" si="19"/>
        <v>5</v>
      </c>
      <c r="U1088" t="s">
        <v>26</v>
      </c>
    </row>
    <row r="1089" spans="1:22" x14ac:dyDescent="0.3">
      <c r="A1089">
        <v>17</v>
      </c>
      <c r="B1089">
        <v>2</v>
      </c>
      <c r="C1089">
        <v>207715</v>
      </c>
      <c r="D1089" t="s">
        <v>58</v>
      </c>
      <c r="E1089" s="10">
        <v>44098</v>
      </c>
      <c r="F1089" t="s">
        <v>23</v>
      </c>
      <c r="G1089" s="3" t="s">
        <v>28</v>
      </c>
      <c r="H1089" t="s">
        <v>50</v>
      </c>
      <c r="S1089">
        <v>1</v>
      </c>
      <c r="T1089" s="13">
        <f t="shared" si="19"/>
        <v>1</v>
      </c>
      <c r="U1089" t="s">
        <v>26</v>
      </c>
    </row>
    <row r="1090" spans="1:22" s="5" customFormat="1" ht="16.2" thickBot="1" x14ac:dyDescent="0.35">
      <c r="A1090" s="5">
        <v>17</v>
      </c>
      <c r="B1090" s="5">
        <v>2</v>
      </c>
      <c r="C1090" s="5">
        <v>207715</v>
      </c>
      <c r="D1090" s="5" t="s">
        <v>58</v>
      </c>
      <c r="E1090" s="11">
        <v>44098</v>
      </c>
      <c r="F1090" s="5" t="s">
        <v>23</v>
      </c>
      <c r="G1090" s="6" t="s">
        <v>52</v>
      </c>
      <c r="H1090" s="5" t="s">
        <v>141</v>
      </c>
      <c r="S1090" s="5">
        <v>1</v>
      </c>
      <c r="T1090" s="12">
        <f t="shared" si="19"/>
        <v>1</v>
      </c>
      <c r="U1090" s="5" t="s">
        <v>53</v>
      </c>
      <c r="V1090" s="14"/>
    </row>
    <row r="1091" spans="1:22" x14ac:dyDescent="0.3">
      <c r="A1091">
        <v>17</v>
      </c>
      <c r="B1091">
        <v>3</v>
      </c>
      <c r="C1091">
        <v>207716</v>
      </c>
      <c r="D1091" t="s">
        <v>58</v>
      </c>
      <c r="E1091" s="10">
        <v>44098</v>
      </c>
      <c r="F1091" t="s">
        <v>23</v>
      </c>
      <c r="G1091" s="3" t="s">
        <v>80</v>
      </c>
      <c r="H1091" t="s">
        <v>25</v>
      </c>
      <c r="O1091">
        <v>11</v>
      </c>
      <c r="P1091">
        <v>51</v>
      </c>
      <c r="Q1091">
        <v>5</v>
      </c>
      <c r="T1091" s="13">
        <f t="shared" si="19"/>
        <v>67</v>
      </c>
      <c r="U1091" t="s">
        <v>26</v>
      </c>
    </row>
    <row r="1092" spans="1:22" x14ac:dyDescent="0.3">
      <c r="A1092">
        <v>17</v>
      </c>
      <c r="B1092">
        <v>3</v>
      </c>
      <c r="C1092">
        <v>207716</v>
      </c>
      <c r="D1092" t="s">
        <v>58</v>
      </c>
      <c r="E1092" s="10">
        <v>44098</v>
      </c>
      <c r="F1092" t="s">
        <v>23</v>
      </c>
      <c r="G1092" s="3" t="s">
        <v>80</v>
      </c>
      <c r="H1092" t="s">
        <v>27</v>
      </c>
      <c r="P1092">
        <v>3</v>
      </c>
      <c r="T1092" s="13">
        <f t="shared" si="19"/>
        <v>3</v>
      </c>
      <c r="U1092" t="s">
        <v>26</v>
      </c>
    </row>
    <row r="1093" spans="1:22" x14ac:dyDescent="0.3">
      <c r="A1093">
        <v>17</v>
      </c>
      <c r="B1093">
        <v>3</v>
      </c>
      <c r="C1093">
        <v>207716</v>
      </c>
      <c r="D1093" t="s">
        <v>58</v>
      </c>
      <c r="E1093" s="10">
        <v>44098</v>
      </c>
      <c r="F1093" t="s">
        <v>23</v>
      </c>
      <c r="G1093" s="3" t="s">
        <v>80</v>
      </c>
      <c r="H1093" t="s">
        <v>67</v>
      </c>
      <c r="M1093">
        <v>1</v>
      </c>
      <c r="T1093" s="13">
        <f t="shared" si="19"/>
        <v>1</v>
      </c>
      <c r="U1093" t="s">
        <v>26</v>
      </c>
    </row>
    <row r="1094" spans="1:22" x14ac:dyDescent="0.3">
      <c r="A1094">
        <v>17</v>
      </c>
      <c r="B1094">
        <v>3</v>
      </c>
      <c r="C1094">
        <v>207716</v>
      </c>
      <c r="D1094" t="s">
        <v>58</v>
      </c>
      <c r="E1094" s="10">
        <v>44098</v>
      </c>
      <c r="F1094" t="s">
        <v>23</v>
      </c>
      <c r="G1094" s="3" t="s">
        <v>80</v>
      </c>
      <c r="H1094" t="s">
        <v>60</v>
      </c>
      <c r="S1094">
        <v>13</v>
      </c>
      <c r="T1094" s="13">
        <f t="shared" si="19"/>
        <v>13</v>
      </c>
      <c r="U1094" t="s">
        <v>26</v>
      </c>
    </row>
    <row r="1095" spans="1:22" x14ac:dyDescent="0.3">
      <c r="A1095">
        <v>17</v>
      </c>
      <c r="B1095">
        <v>3</v>
      </c>
      <c r="C1095">
        <v>207716</v>
      </c>
      <c r="D1095" t="s">
        <v>58</v>
      </c>
      <c r="E1095" s="10">
        <v>44098</v>
      </c>
      <c r="F1095" t="s">
        <v>23</v>
      </c>
      <c r="G1095" s="3" t="s">
        <v>80</v>
      </c>
      <c r="H1095" t="s">
        <v>274</v>
      </c>
      <c r="S1095">
        <v>1</v>
      </c>
      <c r="T1095" s="13">
        <f t="shared" si="19"/>
        <v>1</v>
      </c>
      <c r="U1095" t="s">
        <v>26</v>
      </c>
    </row>
    <row r="1096" spans="1:22" x14ac:dyDescent="0.3">
      <c r="A1096">
        <v>17</v>
      </c>
      <c r="B1096">
        <v>3</v>
      </c>
      <c r="C1096">
        <v>207716</v>
      </c>
      <c r="D1096" t="s">
        <v>58</v>
      </c>
      <c r="E1096" s="10">
        <v>44098</v>
      </c>
      <c r="F1096" t="s">
        <v>23</v>
      </c>
      <c r="G1096" s="3" t="s">
        <v>80</v>
      </c>
      <c r="H1096" t="s">
        <v>69</v>
      </c>
      <c r="I1096">
        <v>4</v>
      </c>
      <c r="T1096" s="13">
        <f t="shared" si="19"/>
        <v>4</v>
      </c>
      <c r="U1096" t="s">
        <v>26</v>
      </c>
    </row>
    <row r="1097" spans="1:22" x14ac:dyDescent="0.3">
      <c r="A1097">
        <v>17</v>
      </c>
      <c r="B1097">
        <v>3</v>
      </c>
      <c r="C1097">
        <v>207716</v>
      </c>
      <c r="D1097" t="s">
        <v>58</v>
      </c>
      <c r="E1097" s="10">
        <v>44098</v>
      </c>
      <c r="F1097" t="s">
        <v>23</v>
      </c>
      <c r="G1097" s="3" t="s">
        <v>80</v>
      </c>
      <c r="H1097" t="s">
        <v>30</v>
      </c>
      <c r="I1097">
        <v>12</v>
      </c>
      <c r="T1097" s="13">
        <f t="shared" si="19"/>
        <v>12</v>
      </c>
      <c r="U1097" t="s">
        <v>26</v>
      </c>
    </row>
    <row r="1098" spans="1:22" x14ac:dyDescent="0.3">
      <c r="A1098">
        <v>17</v>
      </c>
      <c r="B1098">
        <v>3</v>
      </c>
      <c r="C1098">
        <v>207716</v>
      </c>
      <c r="D1098" t="s">
        <v>58</v>
      </c>
      <c r="E1098" s="10">
        <v>44098</v>
      </c>
      <c r="F1098" t="s">
        <v>23</v>
      </c>
      <c r="G1098" s="3" t="s">
        <v>80</v>
      </c>
      <c r="H1098" t="s">
        <v>37</v>
      </c>
      <c r="Q1098">
        <v>4</v>
      </c>
      <c r="R1098">
        <v>1</v>
      </c>
      <c r="T1098" s="13">
        <f t="shared" si="19"/>
        <v>5</v>
      </c>
      <c r="U1098" t="s">
        <v>26</v>
      </c>
    </row>
    <row r="1099" spans="1:22" x14ac:dyDescent="0.3">
      <c r="A1099">
        <v>17</v>
      </c>
      <c r="B1099">
        <v>3</v>
      </c>
      <c r="C1099">
        <v>207716</v>
      </c>
      <c r="D1099" t="s">
        <v>58</v>
      </c>
      <c r="E1099" s="10">
        <v>44098</v>
      </c>
      <c r="F1099" t="s">
        <v>23</v>
      </c>
      <c r="G1099" s="3" t="s">
        <v>80</v>
      </c>
      <c r="H1099" t="s">
        <v>38</v>
      </c>
      <c r="O1099">
        <v>1</v>
      </c>
      <c r="P1099">
        <v>6</v>
      </c>
      <c r="Q1099">
        <v>22</v>
      </c>
      <c r="R1099">
        <v>13</v>
      </c>
      <c r="T1099" s="13">
        <f t="shared" si="19"/>
        <v>42</v>
      </c>
      <c r="U1099" t="s">
        <v>26</v>
      </c>
    </row>
    <row r="1100" spans="1:22" x14ac:dyDescent="0.3">
      <c r="A1100">
        <v>17</v>
      </c>
      <c r="B1100">
        <v>3</v>
      </c>
      <c r="C1100">
        <v>207716</v>
      </c>
      <c r="D1100" t="s">
        <v>58</v>
      </c>
      <c r="E1100" s="10">
        <v>44098</v>
      </c>
      <c r="F1100" t="s">
        <v>23</v>
      </c>
      <c r="G1100" s="3" t="s">
        <v>80</v>
      </c>
      <c r="H1100" t="s">
        <v>34</v>
      </c>
      <c r="P1100">
        <v>2</v>
      </c>
      <c r="R1100">
        <v>2</v>
      </c>
      <c r="T1100" s="13">
        <f t="shared" si="19"/>
        <v>4</v>
      </c>
      <c r="U1100" t="s">
        <v>26</v>
      </c>
    </row>
    <row r="1101" spans="1:22" x14ac:dyDescent="0.3">
      <c r="A1101">
        <v>17</v>
      </c>
      <c r="B1101">
        <v>3</v>
      </c>
      <c r="C1101">
        <v>207716</v>
      </c>
      <c r="D1101" t="s">
        <v>58</v>
      </c>
      <c r="E1101" s="10">
        <v>44098</v>
      </c>
      <c r="F1101" t="s">
        <v>23</v>
      </c>
      <c r="G1101" s="3" t="s">
        <v>80</v>
      </c>
      <c r="H1101" t="s">
        <v>41</v>
      </c>
      <c r="S1101">
        <v>3</v>
      </c>
      <c r="T1101" s="13">
        <f t="shared" si="19"/>
        <v>3</v>
      </c>
      <c r="U1101" t="s">
        <v>26</v>
      </c>
    </row>
    <row r="1102" spans="1:22" x14ac:dyDescent="0.3">
      <c r="A1102">
        <v>17</v>
      </c>
      <c r="B1102">
        <v>3</v>
      </c>
      <c r="C1102">
        <v>207716</v>
      </c>
      <c r="D1102" t="s">
        <v>58</v>
      </c>
      <c r="E1102" s="10">
        <v>44098</v>
      </c>
      <c r="F1102" t="s">
        <v>23</v>
      </c>
      <c r="G1102" s="3" t="s">
        <v>80</v>
      </c>
      <c r="H1102" t="s">
        <v>46</v>
      </c>
      <c r="K1102">
        <v>2</v>
      </c>
      <c r="Q1102">
        <v>6</v>
      </c>
      <c r="T1102" s="13">
        <f t="shared" si="19"/>
        <v>8</v>
      </c>
      <c r="U1102" t="s">
        <v>26</v>
      </c>
    </row>
    <row r="1103" spans="1:22" x14ac:dyDescent="0.3">
      <c r="A1103">
        <v>17</v>
      </c>
      <c r="B1103">
        <v>3</v>
      </c>
      <c r="C1103">
        <v>207716</v>
      </c>
      <c r="D1103" t="s">
        <v>58</v>
      </c>
      <c r="E1103" s="10">
        <v>44098</v>
      </c>
      <c r="F1103" t="s">
        <v>23</v>
      </c>
      <c r="G1103" s="3" t="s">
        <v>80</v>
      </c>
      <c r="H1103" t="s">
        <v>43</v>
      </c>
      <c r="K1103">
        <v>6</v>
      </c>
      <c r="Q1103">
        <v>10</v>
      </c>
      <c r="T1103" s="13">
        <f t="shared" si="19"/>
        <v>16</v>
      </c>
      <c r="U1103" t="s">
        <v>26</v>
      </c>
    </row>
    <row r="1104" spans="1:22" x14ac:dyDescent="0.3">
      <c r="A1104">
        <v>17</v>
      </c>
      <c r="B1104">
        <v>3</v>
      </c>
      <c r="C1104">
        <v>207716</v>
      </c>
      <c r="D1104" t="s">
        <v>58</v>
      </c>
      <c r="E1104" s="10">
        <v>44098</v>
      </c>
      <c r="F1104" t="s">
        <v>23</v>
      </c>
      <c r="G1104" s="3" t="s">
        <v>80</v>
      </c>
      <c r="H1104" t="s">
        <v>180</v>
      </c>
      <c r="S1104">
        <v>1</v>
      </c>
      <c r="T1104" s="13">
        <f t="shared" si="19"/>
        <v>1</v>
      </c>
      <c r="U1104" t="s">
        <v>144</v>
      </c>
    </row>
    <row r="1105" spans="1:22" x14ac:dyDescent="0.3">
      <c r="A1105">
        <v>17</v>
      </c>
      <c r="B1105">
        <v>3</v>
      </c>
      <c r="C1105">
        <v>207716</v>
      </c>
      <c r="D1105" t="s">
        <v>58</v>
      </c>
      <c r="E1105" s="10">
        <v>44098</v>
      </c>
      <c r="F1105" t="s">
        <v>23</v>
      </c>
      <c r="G1105" s="3" t="s">
        <v>80</v>
      </c>
      <c r="H1105" t="s">
        <v>235</v>
      </c>
      <c r="I1105">
        <v>1</v>
      </c>
    </row>
    <row r="1106" spans="1:22" s="5" customFormat="1" ht="16.2" thickBot="1" x14ac:dyDescent="0.35">
      <c r="A1106" s="5">
        <v>17</v>
      </c>
      <c r="B1106" s="5">
        <v>3</v>
      </c>
      <c r="C1106" s="5">
        <v>207716</v>
      </c>
      <c r="D1106" s="5" t="s">
        <v>58</v>
      </c>
      <c r="E1106" s="11">
        <v>44098</v>
      </c>
      <c r="F1106" s="5" t="s">
        <v>23</v>
      </c>
      <c r="G1106" s="6" t="s">
        <v>80</v>
      </c>
      <c r="H1106" s="5" t="s">
        <v>141</v>
      </c>
      <c r="S1106" s="5">
        <v>1</v>
      </c>
      <c r="T1106" s="12">
        <f t="shared" si="19"/>
        <v>1</v>
      </c>
      <c r="U1106" s="5" t="s">
        <v>53</v>
      </c>
      <c r="V1106" s="14"/>
    </row>
    <row r="1107" spans="1:22" x14ac:dyDescent="0.3">
      <c r="A1107">
        <v>17</v>
      </c>
      <c r="B1107">
        <v>4</v>
      </c>
      <c r="C1107">
        <v>207717</v>
      </c>
      <c r="D1107" t="s">
        <v>58</v>
      </c>
      <c r="E1107" s="10">
        <v>44098</v>
      </c>
      <c r="F1107" t="s">
        <v>23</v>
      </c>
      <c r="G1107" s="3" t="s">
        <v>47</v>
      </c>
      <c r="H1107" t="s">
        <v>25</v>
      </c>
      <c r="N1107">
        <v>5</v>
      </c>
      <c r="O1107">
        <v>29</v>
      </c>
      <c r="P1107">
        <v>46</v>
      </c>
      <c r="Q1107">
        <v>2</v>
      </c>
      <c r="T1107" s="13">
        <f t="shared" si="19"/>
        <v>82</v>
      </c>
      <c r="U1107" t="s">
        <v>26</v>
      </c>
    </row>
    <row r="1108" spans="1:22" x14ac:dyDescent="0.3">
      <c r="A1108">
        <v>17</v>
      </c>
      <c r="B1108">
        <v>4</v>
      </c>
      <c r="C1108">
        <v>207717</v>
      </c>
      <c r="D1108" t="s">
        <v>58</v>
      </c>
      <c r="E1108" s="10">
        <v>44098</v>
      </c>
      <c r="F1108" t="s">
        <v>23</v>
      </c>
      <c r="G1108" s="3" t="s">
        <v>47</v>
      </c>
      <c r="H1108" t="s">
        <v>27</v>
      </c>
      <c r="M1108">
        <v>2</v>
      </c>
      <c r="O1108">
        <v>1</v>
      </c>
      <c r="P1108">
        <v>1</v>
      </c>
      <c r="T1108" s="13">
        <f t="shared" si="19"/>
        <v>4</v>
      </c>
      <c r="U1108" t="s">
        <v>26</v>
      </c>
    </row>
    <row r="1109" spans="1:22" x14ac:dyDescent="0.3">
      <c r="A1109">
        <v>17</v>
      </c>
      <c r="B1109">
        <v>4</v>
      </c>
      <c r="C1109">
        <v>207717</v>
      </c>
      <c r="D1109" t="s">
        <v>58</v>
      </c>
      <c r="E1109" s="10">
        <v>44098</v>
      </c>
      <c r="F1109" t="s">
        <v>23</v>
      </c>
      <c r="G1109" s="3" t="s">
        <v>47</v>
      </c>
      <c r="H1109" t="s">
        <v>34</v>
      </c>
      <c r="Q1109">
        <v>1</v>
      </c>
      <c r="T1109" s="13">
        <f t="shared" si="19"/>
        <v>1</v>
      </c>
      <c r="U1109" t="s">
        <v>26</v>
      </c>
    </row>
    <row r="1110" spans="1:22" x14ac:dyDescent="0.3">
      <c r="A1110">
        <v>17</v>
      </c>
      <c r="B1110">
        <v>4</v>
      </c>
      <c r="C1110">
        <v>207717</v>
      </c>
      <c r="D1110" t="s">
        <v>58</v>
      </c>
      <c r="E1110" s="10">
        <v>44098</v>
      </c>
      <c r="F1110" t="s">
        <v>23</v>
      </c>
      <c r="G1110" s="3" t="s">
        <v>47</v>
      </c>
      <c r="H1110" t="s">
        <v>69</v>
      </c>
      <c r="I1110">
        <v>4</v>
      </c>
      <c r="T1110" s="13">
        <f t="shared" si="19"/>
        <v>4</v>
      </c>
      <c r="U1110" t="s">
        <v>26</v>
      </c>
    </row>
    <row r="1111" spans="1:22" x14ac:dyDescent="0.3">
      <c r="A1111">
        <v>17</v>
      </c>
      <c r="B1111">
        <v>4</v>
      </c>
      <c r="C1111">
        <v>207717</v>
      </c>
      <c r="D1111" t="s">
        <v>58</v>
      </c>
      <c r="E1111" s="10">
        <v>44098</v>
      </c>
      <c r="F1111" t="s">
        <v>23</v>
      </c>
      <c r="G1111" s="3" t="s">
        <v>28</v>
      </c>
      <c r="H1111" t="s">
        <v>30</v>
      </c>
      <c r="I1111">
        <v>4</v>
      </c>
      <c r="J1111">
        <v>19</v>
      </c>
      <c r="T1111" s="13">
        <f t="shared" si="19"/>
        <v>23</v>
      </c>
      <c r="U1111" t="s">
        <v>26</v>
      </c>
    </row>
    <row r="1112" spans="1:22" x14ac:dyDescent="0.3">
      <c r="A1112">
        <v>17</v>
      </c>
      <c r="B1112">
        <v>4</v>
      </c>
      <c r="C1112">
        <v>207717</v>
      </c>
      <c r="D1112" t="s">
        <v>58</v>
      </c>
      <c r="E1112" s="10">
        <v>44098</v>
      </c>
      <c r="F1112" t="s">
        <v>23</v>
      </c>
      <c r="G1112" s="3" t="s">
        <v>28</v>
      </c>
      <c r="H1112" t="s">
        <v>37</v>
      </c>
      <c r="Q1112">
        <v>3</v>
      </c>
      <c r="T1112" s="13">
        <f t="shared" si="19"/>
        <v>3</v>
      </c>
      <c r="U1112" t="s">
        <v>26</v>
      </c>
    </row>
    <row r="1113" spans="1:22" x14ac:dyDescent="0.3">
      <c r="A1113">
        <v>17</v>
      </c>
      <c r="B1113">
        <v>4</v>
      </c>
      <c r="C1113">
        <v>207717</v>
      </c>
      <c r="D1113" t="s">
        <v>58</v>
      </c>
      <c r="E1113" s="10">
        <v>44098</v>
      </c>
      <c r="F1113" t="s">
        <v>23</v>
      </c>
      <c r="G1113" s="3" t="s">
        <v>28</v>
      </c>
      <c r="H1113" t="s">
        <v>31</v>
      </c>
      <c r="P1113">
        <v>1</v>
      </c>
      <c r="Q1113">
        <v>1</v>
      </c>
      <c r="T1113" s="13">
        <f t="shared" si="19"/>
        <v>2</v>
      </c>
      <c r="U1113" t="s">
        <v>26</v>
      </c>
    </row>
    <row r="1114" spans="1:22" x14ac:dyDescent="0.3">
      <c r="A1114">
        <v>17</v>
      </c>
      <c r="B1114">
        <v>4</v>
      </c>
      <c r="C1114">
        <v>207717</v>
      </c>
      <c r="D1114" t="s">
        <v>58</v>
      </c>
      <c r="E1114" s="10">
        <v>44098</v>
      </c>
      <c r="F1114" t="s">
        <v>23</v>
      </c>
      <c r="G1114" s="3" t="s">
        <v>28</v>
      </c>
      <c r="H1114" t="s">
        <v>38</v>
      </c>
      <c r="O1114">
        <v>4</v>
      </c>
      <c r="P1114">
        <v>3</v>
      </c>
      <c r="Q1114">
        <v>34</v>
      </c>
      <c r="R1114">
        <v>24</v>
      </c>
      <c r="T1114" s="13">
        <f t="shared" si="19"/>
        <v>65</v>
      </c>
      <c r="U1114" t="s">
        <v>26</v>
      </c>
    </row>
    <row r="1115" spans="1:22" x14ac:dyDescent="0.3">
      <c r="A1115">
        <v>17</v>
      </c>
      <c r="B1115">
        <v>4</v>
      </c>
      <c r="C1115">
        <v>207717</v>
      </c>
      <c r="D1115" t="s">
        <v>58</v>
      </c>
      <c r="E1115" s="10">
        <v>44098</v>
      </c>
      <c r="F1115" t="s">
        <v>23</v>
      </c>
      <c r="G1115" s="3" t="s">
        <v>28</v>
      </c>
      <c r="H1115" t="s">
        <v>34</v>
      </c>
      <c r="O1115">
        <v>2</v>
      </c>
      <c r="P1115">
        <v>1</v>
      </c>
      <c r="R1115">
        <v>2</v>
      </c>
      <c r="T1115" s="13">
        <f t="shared" si="19"/>
        <v>5</v>
      </c>
      <c r="U1115" t="s">
        <v>26</v>
      </c>
    </row>
    <row r="1116" spans="1:22" x14ac:dyDescent="0.3">
      <c r="A1116">
        <v>17</v>
      </c>
      <c r="B1116">
        <v>4</v>
      </c>
      <c r="C1116">
        <v>207717</v>
      </c>
      <c r="D1116" t="s">
        <v>58</v>
      </c>
      <c r="E1116" s="10">
        <v>44098</v>
      </c>
      <c r="F1116" t="s">
        <v>23</v>
      </c>
      <c r="G1116" s="3" t="s">
        <v>28</v>
      </c>
      <c r="H1116" t="s">
        <v>43</v>
      </c>
      <c r="K1116">
        <v>1</v>
      </c>
      <c r="Q1116">
        <v>4</v>
      </c>
      <c r="R1116">
        <v>1</v>
      </c>
      <c r="T1116" s="13">
        <f t="shared" si="19"/>
        <v>6</v>
      </c>
      <c r="U1116" t="s">
        <v>26</v>
      </c>
    </row>
    <row r="1117" spans="1:22" x14ac:dyDescent="0.3">
      <c r="A1117">
        <v>17</v>
      </c>
      <c r="B1117">
        <v>4</v>
      </c>
      <c r="C1117">
        <v>207717</v>
      </c>
      <c r="D1117" t="s">
        <v>58</v>
      </c>
      <c r="E1117" s="10">
        <v>44098</v>
      </c>
      <c r="F1117" t="s">
        <v>23</v>
      </c>
      <c r="G1117" s="3" t="s">
        <v>28</v>
      </c>
      <c r="H1117" t="s">
        <v>46</v>
      </c>
      <c r="K1117">
        <v>4</v>
      </c>
      <c r="Q1117">
        <v>8</v>
      </c>
      <c r="T1117" s="13">
        <f t="shared" si="19"/>
        <v>12</v>
      </c>
      <c r="U1117" t="s">
        <v>26</v>
      </c>
    </row>
    <row r="1118" spans="1:22" s="5" customFormat="1" ht="16.2" thickBot="1" x14ac:dyDescent="0.35">
      <c r="A1118" s="5">
        <v>17</v>
      </c>
      <c r="B1118" s="5">
        <v>4</v>
      </c>
      <c r="C1118" s="5">
        <v>207717</v>
      </c>
      <c r="D1118" s="5" t="s">
        <v>58</v>
      </c>
      <c r="E1118" s="11">
        <v>44098</v>
      </c>
      <c r="F1118" s="5" t="s">
        <v>23</v>
      </c>
      <c r="G1118" s="6" t="s">
        <v>28</v>
      </c>
      <c r="H1118" s="5" t="s">
        <v>74</v>
      </c>
      <c r="Q1118" s="5">
        <v>1</v>
      </c>
      <c r="T1118" s="12">
        <f t="shared" si="19"/>
        <v>1</v>
      </c>
      <c r="U1118" s="5" t="s">
        <v>26</v>
      </c>
      <c r="V1118" s="14"/>
    </row>
    <row r="1119" spans="1:22" x14ac:dyDescent="0.3">
      <c r="A1119">
        <v>17</v>
      </c>
      <c r="B1119">
        <v>5</v>
      </c>
      <c r="C1119">
        <v>207718</v>
      </c>
      <c r="D1119" t="s">
        <v>58</v>
      </c>
      <c r="E1119" s="10">
        <v>44098</v>
      </c>
      <c r="F1119" t="s">
        <v>23</v>
      </c>
      <c r="G1119" s="3" t="s">
        <v>68</v>
      </c>
      <c r="H1119" t="s">
        <v>25</v>
      </c>
      <c r="M1119">
        <v>2</v>
      </c>
      <c r="N1119">
        <v>3</v>
      </c>
      <c r="O1119">
        <v>44</v>
      </c>
      <c r="P1119">
        <v>45</v>
      </c>
      <c r="Q1119">
        <v>2</v>
      </c>
      <c r="T1119" s="13">
        <f t="shared" si="19"/>
        <v>96</v>
      </c>
      <c r="U1119" t="s">
        <v>26</v>
      </c>
    </row>
    <row r="1120" spans="1:22" x14ac:dyDescent="0.3">
      <c r="A1120">
        <v>17</v>
      </c>
      <c r="B1120">
        <v>5</v>
      </c>
      <c r="C1120">
        <v>207718</v>
      </c>
      <c r="D1120" t="s">
        <v>58</v>
      </c>
      <c r="E1120" s="10">
        <v>44098</v>
      </c>
      <c r="F1120" t="s">
        <v>23</v>
      </c>
      <c r="G1120" s="3" t="s">
        <v>68</v>
      </c>
      <c r="H1120" t="s">
        <v>27</v>
      </c>
      <c r="L1120">
        <v>1</v>
      </c>
      <c r="P1120">
        <v>1</v>
      </c>
      <c r="T1120" s="13">
        <f t="shared" si="19"/>
        <v>2</v>
      </c>
      <c r="U1120" t="s">
        <v>26</v>
      </c>
    </row>
    <row r="1121" spans="1:22" x14ac:dyDescent="0.3">
      <c r="A1121">
        <v>17</v>
      </c>
      <c r="B1121">
        <v>5</v>
      </c>
      <c r="C1121">
        <v>207718</v>
      </c>
      <c r="D1121" t="s">
        <v>58</v>
      </c>
      <c r="E1121" s="10">
        <v>44098</v>
      </c>
      <c r="F1121" t="s">
        <v>23</v>
      </c>
      <c r="G1121" s="3" t="s">
        <v>68</v>
      </c>
      <c r="H1121" t="s">
        <v>69</v>
      </c>
      <c r="I1121">
        <v>1</v>
      </c>
      <c r="T1121" s="13">
        <f t="shared" si="19"/>
        <v>1</v>
      </c>
      <c r="U1121" t="s">
        <v>26</v>
      </c>
    </row>
    <row r="1122" spans="1:22" x14ac:dyDescent="0.3">
      <c r="A1122">
        <v>17</v>
      </c>
      <c r="B1122">
        <v>5</v>
      </c>
      <c r="C1122">
        <v>207718</v>
      </c>
      <c r="D1122" t="s">
        <v>58</v>
      </c>
      <c r="E1122" s="10">
        <v>44098</v>
      </c>
      <c r="F1122" t="s">
        <v>23</v>
      </c>
      <c r="G1122" s="3" t="s">
        <v>54</v>
      </c>
      <c r="H1122" t="s">
        <v>30</v>
      </c>
      <c r="I1122">
        <v>12</v>
      </c>
      <c r="T1122" s="13">
        <f t="shared" si="19"/>
        <v>12</v>
      </c>
      <c r="U1122" t="s">
        <v>26</v>
      </c>
    </row>
    <row r="1123" spans="1:22" x14ac:dyDescent="0.3">
      <c r="A1123">
        <v>17</v>
      </c>
      <c r="B1123">
        <v>5</v>
      </c>
      <c r="C1123">
        <v>207718</v>
      </c>
      <c r="D1123" t="s">
        <v>58</v>
      </c>
      <c r="E1123" s="10">
        <v>44098</v>
      </c>
      <c r="F1123" t="s">
        <v>23</v>
      </c>
      <c r="G1123" s="3" t="s">
        <v>54</v>
      </c>
      <c r="H1123" t="s">
        <v>60</v>
      </c>
      <c r="S1123">
        <v>2</v>
      </c>
      <c r="T1123" s="13">
        <f t="shared" si="19"/>
        <v>2</v>
      </c>
      <c r="U1123" t="s">
        <v>26</v>
      </c>
    </row>
    <row r="1124" spans="1:22" x14ac:dyDescent="0.3">
      <c r="A1124">
        <v>17</v>
      </c>
      <c r="B1124">
        <v>5</v>
      </c>
      <c r="C1124">
        <v>207718</v>
      </c>
      <c r="D1124" t="s">
        <v>58</v>
      </c>
      <c r="E1124" s="10">
        <v>44098</v>
      </c>
      <c r="F1124" t="s">
        <v>23</v>
      </c>
      <c r="G1124" s="3" t="s">
        <v>54</v>
      </c>
      <c r="H1124" t="s">
        <v>30</v>
      </c>
      <c r="J1124">
        <v>62</v>
      </c>
      <c r="T1124" s="13">
        <f t="shared" si="19"/>
        <v>62</v>
      </c>
      <c r="U1124" t="s">
        <v>26</v>
      </c>
    </row>
    <row r="1125" spans="1:22" x14ac:dyDescent="0.3">
      <c r="A1125">
        <v>17</v>
      </c>
      <c r="B1125">
        <v>5</v>
      </c>
      <c r="C1125">
        <v>207718</v>
      </c>
      <c r="D1125" t="s">
        <v>58</v>
      </c>
      <c r="E1125" s="10">
        <v>44098</v>
      </c>
      <c r="F1125" t="s">
        <v>23</v>
      </c>
      <c r="G1125" s="3" t="s">
        <v>54</v>
      </c>
      <c r="H1125" t="s">
        <v>32</v>
      </c>
      <c r="O1125">
        <v>30</v>
      </c>
      <c r="P1125">
        <v>14</v>
      </c>
      <c r="Q1125">
        <v>7</v>
      </c>
      <c r="R1125">
        <v>9</v>
      </c>
      <c r="T1125" s="13">
        <f t="shared" si="19"/>
        <v>60</v>
      </c>
      <c r="U1125" t="s">
        <v>26</v>
      </c>
    </row>
    <row r="1126" spans="1:22" x14ac:dyDescent="0.3">
      <c r="A1126">
        <v>17</v>
      </c>
      <c r="B1126">
        <v>5</v>
      </c>
      <c r="C1126">
        <v>207718</v>
      </c>
      <c r="D1126" t="s">
        <v>58</v>
      </c>
      <c r="E1126" s="10">
        <v>44098</v>
      </c>
      <c r="F1126" t="s">
        <v>23</v>
      </c>
      <c r="G1126" s="3" t="s">
        <v>54</v>
      </c>
      <c r="H1126" t="s">
        <v>37</v>
      </c>
      <c r="O1126">
        <v>3</v>
      </c>
      <c r="Q1126">
        <v>28</v>
      </c>
      <c r="R1126">
        <v>9</v>
      </c>
      <c r="T1126" s="13">
        <f t="shared" si="19"/>
        <v>40</v>
      </c>
      <c r="U1126" t="s">
        <v>26</v>
      </c>
    </row>
    <row r="1127" spans="1:22" x14ac:dyDescent="0.3">
      <c r="A1127">
        <v>17</v>
      </c>
      <c r="B1127">
        <v>5</v>
      </c>
      <c r="C1127">
        <v>207718</v>
      </c>
      <c r="D1127" t="s">
        <v>58</v>
      </c>
      <c r="E1127" s="10">
        <v>44098</v>
      </c>
      <c r="F1127" t="s">
        <v>23</v>
      </c>
      <c r="G1127" s="3" t="s">
        <v>54</v>
      </c>
      <c r="H1127" t="s">
        <v>31</v>
      </c>
      <c r="P1127">
        <v>2</v>
      </c>
      <c r="Q1127">
        <v>1</v>
      </c>
      <c r="T1127" s="13">
        <f t="shared" si="19"/>
        <v>3</v>
      </c>
      <c r="U1127" t="s">
        <v>26</v>
      </c>
    </row>
    <row r="1128" spans="1:22" x14ac:dyDescent="0.3">
      <c r="A1128">
        <v>17</v>
      </c>
      <c r="B1128">
        <v>5</v>
      </c>
      <c r="C1128">
        <v>207718</v>
      </c>
      <c r="D1128" t="s">
        <v>58</v>
      </c>
      <c r="E1128" s="10">
        <v>44098</v>
      </c>
      <c r="F1128" t="s">
        <v>23</v>
      </c>
      <c r="G1128" s="3" t="s">
        <v>54</v>
      </c>
      <c r="H1128" t="s">
        <v>51</v>
      </c>
      <c r="S1128">
        <v>2</v>
      </c>
      <c r="T1128" s="13">
        <f t="shared" si="19"/>
        <v>2</v>
      </c>
      <c r="U1128" t="s">
        <v>26</v>
      </c>
    </row>
    <row r="1129" spans="1:22" x14ac:dyDescent="0.3">
      <c r="A1129">
        <v>17</v>
      </c>
      <c r="B1129">
        <v>5</v>
      </c>
      <c r="C1129">
        <v>207718</v>
      </c>
      <c r="D1129" t="s">
        <v>58</v>
      </c>
      <c r="E1129" s="10">
        <v>44098</v>
      </c>
      <c r="F1129" t="s">
        <v>23</v>
      </c>
      <c r="G1129" s="3" t="s">
        <v>54</v>
      </c>
      <c r="H1129" t="s">
        <v>41</v>
      </c>
      <c r="S1129">
        <v>3</v>
      </c>
      <c r="T1129" s="13">
        <f t="shared" si="19"/>
        <v>3</v>
      </c>
      <c r="U1129" t="s">
        <v>26</v>
      </c>
    </row>
    <row r="1130" spans="1:22" x14ac:dyDescent="0.3">
      <c r="A1130">
        <v>17</v>
      </c>
      <c r="B1130">
        <v>5</v>
      </c>
      <c r="C1130">
        <v>207718</v>
      </c>
      <c r="D1130" t="s">
        <v>58</v>
      </c>
      <c r="E1130" s="10">
        <v>44098</v>
      </c>
      <c r="F1130" t="s">
        <v>23</v>
      </c>
      <c r="G1130" s="3" t="s">
        <v>54</v>
      </c>
      <c r="H1130" t="s">
        <v>55</v>
      </c>
      <c r="S1130">
        <v>1</v>
      </c>
      <c r="T1130" s="13">
        <f t="shared" si="19"/>
        <v>1</v>
      </c>
      <c r="U1130" t="s">
        <v>26</v>
      </c>
    </row>
    <row r="1131" spans="1:22" x14ac:dyDescent="0.3">
      <c r="A1131">
        <v>17</v>
      </c>
      <c r="B1131">
        <v>5</v>
      </c>
      <c r="C1131">
        <v>207718</v>
      </c>
      <c r="D1131" t="s">
        <v>58</v>
      </c>
      <c r="E1131" s="10">
        <v>44098</v>
      </c>
      <c r="F1131" t="s">
        <v>23</v>
      </c>
      <c r="G1131" s="3" t="s">
        <v>54</v>
      </c>
      <c r="H1131" t="s">
        <v>56</v>
      </c>
      <c r="S1131">
        <v>1</v>
      </c>
      <c r="T1131" s="13">
        <f t="shared" si="19"/>
        <v>1</v>
      </c>
      <c r="U1131" t="s">
        <v>26</v>
      </c>
    </row>
    <row r="1132" spans="1:22" x14ac:dyDescent="0.3">
      <c r="A1132">
        <v>17</v>
      </c>
      <c r="B1132">
        <v>5</v>
      </c>
      <c r="C1132">
        <v>207718</v>
      </c>
      <c r="D1132" t="s">
        <v>58</v>
      </c>
      <c r="E1132" s="10">
        <v>44098</v>
      </c>
      <c r="F1132" t="s">
        <v>23</v>
      </c>
      <c r="G1132" s="3" t="s">
        <v>54</v>
      </c>
      <c r="H1132" t="s">
        <v>33</v>
      </c>
      <c r="Q1132">
        <v>1</v>
      </c>
      <c r="T1132" s="13">
        <f t="shared" si="19"/>
        <v>1</v>
      </c>
      <c r="U1132" t="s">
        <v>26</v>
      </c>
    </row>
    <row r="1133" spans="1:22" x14ac:dyDescent="0.3">
      <c r="A1133">
        <v>17</v>
      </c>
      <c r="B1133">
        <v>5</v>
      </c>
      <c r="C1133">
        <v>207718</v>
      </c>
      <c r="D1133" t="s">
        <v>58</v>
      </c>
      <c r="E1133" s="10">
        <v>44098</v>
      </c>
      <c r="F1133" t="s">
        <v>23</v>
      </c>
      <c r="G1133" s="3" t="s">
        <v>54</v>
      </c>
      <c r="H1133" t="s">
        <v>74</v>
      </c>
      <c r="Q1133">
        <v>1</v>
      </c>
      <c r="T1133" s="13">
        <f t="shared" si="19"/>
        <v>1</v>
      </c>
      <c r="U1133" t="s">
        <v>26</v>
      </c>
    </row>
    <row r="1134" spans="1:22" x14ac:dyDescent="0.3">
      <c r="A1134">
        <v>17</v>
      </c>
      <c r="B1134">
        <v>5</v>
      </c>
      <c r="C1134">
        <v>207718</v>
      </c>
      <c r="D1134" t="s">
        <v>58</v>
      </c>
      <c r="E1134" s="10">
        <v>44098</v>
      </c>
      <c r="F1134" t="s">
        <v>23</v>
      </c>
      <c r="G1134" s="3" t="s">
        <v>54</v>
      </c>
      <c r="H1134" t="s">
        <v>46</v>
      </c>
      <c r="Q1134">
        <v>17</v>
      </c>
      <c r="T1134" s="13">
        <f t="shared" si="19"/>
        <v>17</v>
      </c>
      <c r="U1134" t="s">
        <v>26</v>
      </c>
    </row>
    <row r="1135" spans="1:22" x14ac:dyDescent="0.3">
      <c r="A1135">
        <v>17</v>
      </c>
      <c r="B1135">
        <v>5</v>
      </c>
      <c r="C1135">
        <v>207718</v>
      </c>
      <c r="D1135" t="s">
        <v>58</v>
      </c>
      <c r="E1135" s="10">
        <v>44098</v>
      </c>
      <c r="F1135" t="s">
        <v>23</v>
      </c>
      <c r="G1135" s="3" t="s">
        <v>54</v>
      </c>
      <c r="H1135" t="s">
        <v>45</v>
      </c>
      <c r="K1135">
        <v>4</v>
      </c>
      <c r="T1135" s="13">
        <f t="shared" si="19"/>
        <v>4</v>
      </c>
      <c r="U1135" t="s">
        <v>26</v>
      </c>
    </row>
    <row r="1136" spans="1:22" s="5" customFormat="1" ht="16.2" thickBot="1" x14ac:dyDescent="0.35">
      <c r="A1136" s="5">
        <v>17</v>
      </c>
      <c r="B1136" s="5">
        <v>5</v>
      </c>
      <c r="C1136" s="5">
        <v>207718</v>
      </c>
      <c r="D1136" s="5" t="s">
        <v>58</v>
      </c>
      <c r="E1136" s="11">
        <v>44098</v>
      </c>
      <c r="F1136" s="5" t="s">
        <v>23</v>
      </c>
      <c r="G1136" s="6" t="s">
        <v>54</v>
      </c>
      <c r="H1136" s="5" t="s">
        <v>71</v>
      </c>
      <c r="Q1136" s="5">
        <v>1</v>
      </c>
      <c r="T1136" s="12">
        <f t="shared" si="19"/>
        <v>1</v>
      </c>
      <c r="U1136" s="5" t="s">
        <v>26</v>
      </c>
      <c r="V1136" s="14"/>
    </row>
    <row r="1137" spans="1:22" x14ac:dyDescent="0.3">
      <c r="A1137">
        <v>18</v>
      </c>
      <c r="B1137">
        <v>1</v>
      </c>
      <c r="C1137">
        <v>207719</v>
      </c>
      <c r="D1137" t="s">
        <v>58</v>
      </c>
      <c r="E1137" s="10">
        <v>44098</v>
      </c>
      <c r="F1137" t="s">
        <v>23</v>
      </c>
      <c r="G1137" s="3" t="s">
        <v>24</v>
      </c>
      <c r="H1137" t="s">
        <v>79</v>
      </c>
      <c r="S1137">
        <v>5</v>
      </c>
      <c r="T1137" s="13">
        <f t="shared" si="19"/>
        <v>5</v>
      </c>
      <c r="U1137" t="s">
        <v>26</v>
      </c>
    </row>
    <row r="1138" spans="1:22" x14ac:dyDescent="0.3">
      <c r="A1138">
        <v>18</v>
      </c>
      <c r="B1138">
        <v>1</v>
      </c>
      <c r="C1138">
        <v>207719</v>
      </c>
      <c r="D1138" t="s">
        <v>58</v>
      </c>
      <c r="E1138" s="10">
        <v>44098</v>
      </c>
      <c r="F1138" t="s">
        <v>23</v>
      </c>
      <c r="G1138" s="3" t="s">
        <v>24</v>
      </c>
      <c r="H1138" t="s">
        <v>60</v>
      </c>
      <c r="S1138">
        <v>70</v>
      </c>
      <c r="T1138" s="13">
        <f t="shared" si="19"/>
        <v>70</v>
      </c>
      <c r="U1138" t="s">
        <v>26</v>
      </c>
    </row>
    <row r="1139" spans="1:22" x14ac:dyDescent="0.3">
      <c r="A1139">
        <v>18</v>
      </c>
      <c r="B1139">
        <v>1</v>
      </c>
      <c r="C1139">
        <v>207719</v>
      </c>
      <c r="D1139" t="s">
        <v>58</v>
      </c>
      <c r="E1139" s="10">
        <v>44098</v>
      </c>
      <c r="F1139" t="s">
        <v>23</v>
      </c>
      <c r="G1139" s="3" t="s">
        <v>24</v>
      </c>
      <c r="H1139" t="s">
        <v>65</v>
      </c>
      <c r="S1139">
        <v>1</v>
      </c>
      <c r="T1139" s="13">
        <f t="shared" si="19"/>
        <v>1</v>
      </c>
      <c r="U1139" t="s">
        <v>26</v>
      </c>
    </row>
    <row r="1140" spans="1:22" x14ac:dyDescent="0.3">
      <c r="A1140">
        <v>18</v>
      </c>
      <c r="B1140">
        <v>1</v>
      </c>
      <c r="C1140">
        <v>207719</v>
      </c>
      <c r="D1140" t="s">
        <v>58</v>
      </c>
      <c r="E1140" s="10">
        <v>44098</v>
      </c>
      <c r="F1140" t="s">
        <v>23</v>
      </c>
      <c r="G1140" s="3" t="s">
        <v>24</v>
      </c>
      <c r="H1140" t="s">
        <v>41</v>
      </c>
      <c r="S1140">
        <v>2</v>
      </c>
      <c r="T1140" s="13">
        <f t="shared" si="19"/>
        <v>2</v>
      </c>
      <c r="U1140" t="s">
        <v>26</v>
      </c>
    </row>
    <row r="1141" spans="1:22" x14ac:dyDescent="0.3">
      <c r="A1141">
        <v>18</v>
      </c>
      <c r="B1141">
        <v>1</v>
      </c>
      <c r="C1141">
        <v>207719</v>
      </c>
      <c r="D1141" t="s">
        <v>58</v>
      </c>
      <c r="E1141" s="10">
        <v>44098</v>
      </c>
      <c r="F1141" t="s">
        <v>23</v>
      </c>
      <c r="G1141" s="3" t="s">
        <v>24</v>
      </c>
      <c r="H1141" t="s">
        <v>27</v>
      </c>
      <c r="P1141">
        <v>3</v>
      </c>
      <c r="T1141" s="13">
        <f t="shared" ref="T1141:T1205" si="20">SUM(I1141:S1141)</f>
        <v>3</v>
      </c>
      <c r="U1141" t="s">
        <v>26</v>
      </c>
    </row>
    <row r="1142" spans="1:22" x14ac:dyDescent="0.3">
      <c r="A1142">
        <v>18</v>
      </c>
      <c r="B1142">
        <v>1</v>
      </c>
      <c r="C1142">
        <v>207719</v>
      </c>
      <c r="D1142" t="s">
        <v>58</v>
      </c>
      <c r="E1142" s="10">
        <v>44098</v>
      </c>
      <c r="F1142" t="s">
        <v>23</v>
      </c>
      <c r="G1142" s="3" t="s">
        <v>24</v>
      </c>
      <c r="H1142" t="s">
        <v>25</v>
      </c>
      <c r="N1142">
        <v>1</v>
      </c>
      <c r="O1142">
        <v>3</v>
      </c>
      <c r="P1142">
        <v>86</v>
      </c>
      <c r="T1142" s="13">
        <f t="shared" si="20"/>
        <v>90</v>
      </c>
      <c r="U1142" t="s">
        <v>26</v>
      </c>
    </row>
    <row r="1143" spans="1:22" x14ac:dyDescent="0.3">
      <c r="A1143">
        <v>18</v>
      </c>
      <c r="B1143">
        <v>1</v>
      </c>
      <c r="C1143">
        <v>207719</v>
      </c>
      <c r="D1143" t="s">
        <v>58</v>
      </c>
      <c r="E1143" s="10">
        <v>44098</v>
      </c>
      <c r="F1143" t="s">
        <v>23</v>
      </c>
      <c r="G1143" s="3" t="s">
        <v>24</v>
      </c>
      <c r="H1143" t="s">
        <v>186</v>
      </c>
      <c r="P1143">
        <v>2</v>
      </c>
      <c r="T1143" s="13">
        <f t="shared" si="20"/>
        <v>2</v>
      </c>
      <c r="U1143" t="s">
        <v>26</v>
      </c>
    </row>
    <row r="1144" spans="1:22" x14ac:dyDescent="0.3">
      <c r="A1144">
        <v>18</v>
      </c>
      <c r="B1144">
        <v>1</v>
      </c>
      <c r="C1144">
        <v>207719</v>
      </c>
      <c r="D1144" t="s">
        <v>58</v>
      </c>
      <c r="E1144" s="10">
        <v>44098</v>
      </c>
      <c r="F1144" t="s">
        <v>23</v>
      </c>
      <c r="G1144" s="3" t="s">
        <v>24</v>
      </c>
      <c r="H1144" t="s">
        <v>46</v>
      </c>
      <c r="Q1144">
        <v>3</v>
      </c>
      <c r="T1144" s="13">
        <f t="shared" si="20"/>
        <v>3</v>
      </c>
      <c r="U1144" t="s">
        <v>26</v>
      </c>
    </row>
    <row r="1145" spans="1:22" x14ac:dyDescent="0.3">
      <c r="A1145">
        <v>18</v>
      </c>
      <c r="B1145">
        <v>1</v>
      </c>
      <c r="C1145">
        <v>207719</v>
      </c>
      <c r="D1145" t="s">
        <v>58</v>
      </c>
      <c r="E1145" s="10">
        <v>44098</v>
      </c>
      <c r="F1145" t="s">
        <v>23</v>
      </c>
      <c r="G1145" s="3" t="s">
        <v>24</v>
      </c>
      <c r="H1145" t="s">
        <v>33</v>
      </c>
      <c r="Q1145">
        <v>1</v>
      </c>
      <c r="T1145" s="13">
        <f t="shared" si="20"/>
        <v>1</v>
      </c>
      <c r="U1145" t="s">
        <v>26</v>
      </c>
    </row>
    <row r="1146" spans="1:22" x14ac:dyDescent="0.3">
      <c r="A1146">
        <v>18</v>
      </c>
      <c r="B1146">
        <v>1</v>
      </c>
      <c r="C1146">
        <v>207719</v>
      </c>
      <c r="D1146" t="s">
        <v>58</v>
      </c>
      <c r="E1146" s="10">
        <v>44098</v>
      </c>
      <c r="F1146" t="s">
        <v>23</v>
      </c>
      <c r="G1146" s="3" t="s">
        <v>24</v>
      </c>
      <c r="H1146" t="s">
        <v>62</v>
      </c>
      <c r="P1146">
        <v>1</v>
      </c>
      <c r="Q1146">
        <v>1</v>
      </c>
      <c r="T1146" s="13">
        <f t="shared" si="20"/>
        <v>2</v>
      </c>
      <c r="U1146" t="s">
        <v>26</v>
      </c>
    </row>
    <row r="1147" spans="1:22" x14ac:dyDescent="0.3">
      <c r="A1147">
        <v>18</v>
      </c>
      <c r="B1147">
        <v>1</v>
      </c>
      <c r="C1147">
        <v>207719</v>
      </c>
      <c r="D1147" t="s">
        <v>58</v>
      </c>
      <c r="E1147" s="10">
        <v>44098</v>
      </c>
      <c r="F1147" t="s">
        <v>23</v>
      </c>
      <c r="G1147" s="3" t="s">
        <v>24</v>
      </c>
      <c r="H1147" t="s">
        <v>30</v>
      </c>
      <c r="I1147">
        <v>3</v>
      </c>
      <c r="J1147">
        <v>1</v>
      </c>
      <c r="T1147" s="13">
        <f t="shared" si="20"/>
        <v>4</v>
      </c>
      <c r="U1147" t="s">
        <v>26</v>
      </c>
    </row>
    <row r="1148" spans="1:22" x14ac:dyDescent="0.3">
      <c r="A1148">
        <v>18</v>
      </c>
      <c r="B1148">
        <v>1</v>
      </c>
      <c r="C1148">
        <v>207719</v>
      </c>
      <c r="D1148" t="s">
        <v>58</v>
      </c>
      <c r="E1148" s="10">
        <v>44098</v>
      </c>
      <c r="F1148" t="s">
        <v>23</v>
      </c>
      <c r="G1148" s="3" t="s">
        <v>24</v>
      </c>
      <c r="H1148" t="s">
        <v>31</v>
      </c>
      <c r="P1148">
        <v>4</v>
      </c>
      <c r="T1148" s="13">
        <f t="shared" si="20"/>
        <v>4</v>
      </c>
      <c r="U1148" t="s">
        <v>26</v>
      </c>
    </row>
    <row r="1149" spans="1:22" x14ac:dyDescent="0.3">
      <c r="A1149">
        <v>18</v>
      </c>
      <c r="B1149">
        <v>1</v>
      </c>
      <c r="C1149">
        <v>207719</v>
      </c>
      <c r="D1149" t="s">
        <v>58</v>
      </c>
      <c r="E1149" s="10">
        <v>44098</v>
      </c>
      <c r="F1149" t="s">
        <v>23</v>
      </c>
      <c r="G1149" s="3" t="s">
        <v>24</v>
      </c>
      <c r="H1149" t="s">
        <v>37</v>
      </c>
      <c r="Q1149">
        <v>1</v>
      </c>
      <c r="T1149" s="13">
        <f t="shared" si="20"/>
        <v>1</v>
      </c>
      <c r="U1149" t="s">
        <v>26</v>
      </c>
    </row>
    <row r="1150" spans="1:22" x14ac:dyDescent="0.3">
      <c r="A1150">
        <v>18</v>
      </c>
      <c r="B1150">
        <v>1</v>
      </c>
      <c r="C1150">
        <v>207719</v>
      </c>
      <c r="D1150" t="s">
        <v>58</v>
      </c>
      <c r="E1150" s="10">
        <v>44098</v>
      </c>
      <c r="F1150" t="s">
        <v>23</v>
      </c>
      <c r="G1150" s="3" t="s">
        <v>24</v>
      </c>
      <c r="H1150" t="s">
        <v>34</v>
      </c>
      <c r="P1150">
        <v>1</v>
      </c>
      <c r="Q1150">
        <v>2</v>
      </c>
      <c r="R1150">
        <v>5</v>
      </c>
      <c r="T1150" s="13">
        <f t="shared" si="20"/>
        <v>8</v>
      </c>
      <c r="U1150" t="s">
        <v>26</v>
      </c>
    </row>
    <row r="1151" spans="1:22" x14ac:dyDescent="0.3">
      <c r="A1151">
        <v>18</v>
      </c>
      <c r="B1151">
        <v>1</v>
      </c>
      <c r="C1151">
        <v>207719</v>
      </c>
      <c r="D1151" t="s">
        <v>58</v>
      </c>
      <c r="E1151" s="10">
        <v>44098</v>
      </c>
      <c r="F1151" t="s">
        <v>23</v>
      </c>
      <c r="G1151" s="3" t="s">
        <v>24</v>
      </c>
      <c r="H1151" t="s">
        <v>29</v>
      </c>
      <c r="S1151">
        <v>1</v>
      </c>
      <c r="T1151" s="13">
        <f t="shared" si="20"/>
        <v>1</v>
      </c>
      <c r="U1151" t="s">
        <v>26</v>
      </c>
      <c r="V1151" s="15" t="s">
        <v>94</v>
      </c>
    </row>
    <row r="1152" spans="1:22" x14ac:dyDescent="0.3">
      <c r="A1152">
        <v>18</v>
      </c>
      <c r="B1152">
        <v>1</v>
      </c>
      <c r="C1152">
        <v>207719</v>
      </c>
      <c r="D1152" t="s">
        <v>58</v>
      </c>
      <c r="E1152" s="10">
        <v>44098</v>
      </c>
      <c r="F1152" t="s">
        <v>23</v>
      </c>
      <c r="G1152" s="3" t="s">
        <v>24</v>
      </c>
      <c r="H1152" t="s">
        <v>51</v>
      </c>
      <c r="S1152">
        <v>2</v>
      </c>
      <c r="T1152" s="13">
        <f t="shared" si="20"/>
        <v>2</v>
      </c>
      <c r="U1152" t="s">
        <v>26</v>
      </c>
    </row>
    <row r="1153" spans="1:22" x14ac:dyDescent="0.3">
      <c r="A1153">
        <v>18</v>
      </c>
      <c r="B1153">
        <v>1</v>
      </c>
      <c r="C1153">
        <v>207719</v>
      </c>
      <c r="D1153" t="s">
        <v>58</v>
      </c>
      <c r="E1153" s="10">
        <v>44098</v>
      </c>
      <c r="F1153" t="s">
        <v>23</v>
      </c>
      <c r="G1153" s="3" t="s">
        <v>24</v>
      </c>
      <c r="H1153" t="s">
        <v>43</v>
      </c>
      <c r="Q1153">
        <v>1</v>
      </c>
      <c r="T1153" s="13">
        <f t="shared" si="20"/>
        <v>1</v>
      </c>
      <c r="U1153" t="s">
        <v>26</v>
      </c>
    </row>
    <row r="1154" spans="1:22" x14ac:dyDescent="0.3">
      <c r="A1154">
        <v>18</v>
      </c>
      <c r="B1154">
        <v>1</v>
      </c>
      <c r="C1154">
        <v>207719</v>
      </c>
      <c r="D1154" t="s">
        <v>58</v>
      </c>
      <c r="E1154" s="10">
        <v>44098</v>
      </c>
      <c r="F1154" t="s">
        <v>23</v>
      </c>
      <c r="G1154" s="3" t="s">
        <v>24</v>
      </c>
      <c r="H1154" t="s">
        <v>89</v>
      </c>
      <c r="I1154">
        <v>2</v>
      </c>
      <c r="T1154" s="13">
        <f t="shared" si="20"/>
        <v>2</v>
      </c>
      <c r="U1154" t="s">
        <v>26</v>
      </c>
    </row>
    <row r="1155" spans="1:22" x14ac:dyDescent="0.3">
      <c r="A1155">
        <v>18</v>
      </c>
      <c r="B1155">
        <v>1</v>
      </c>
      <c r="C1155">
        <v>207719</v>
      </c>
      <c r="D1155" t="s">
        <v>58</v>
      </c>
      <c r="E1155" s="10">
        <v>44098</v>
      </c>
      <c r="F1155" t="s">
        <v>23</v>
      </c>
      <c r="G1155" s="3" t="s">
        <v>24</v>
      </c>
      <c r="H1155" t="s">
        <v>180</v>
      </c>
      <c r="S1155">
        <v>1</v>
      </c>
      <c r="T1155" s="13">
        <f t="shared" si="20"/>
        <v>1</v>
      </c>
      <c r="U1155" t="s">
        <v>26</v>
      </c>
    </row>
    <row r="1156" spans="1:22" x14ac:dyDescent="0.3">
      <c r="A1156">
        <v>18</v>
      </c>
      <c r="B1156">
        <v>1</v>
      </c>
      <c r="C1156">
        <v>207719</v>
      </c>
      <c r="D1156" t="s">
        <v>58</v>
      </c>
      <c r="E1156" s="10">
        <v>44098</v>
      </c>
      <c r="F1156" t="s">
        <v>23</v>
      </c>
      <c r="G1156" s="3" t="s">
        <v>52</v>
      </c>
      <c r="H1156" t="s">
        <v>141</v>
      </c>
      <c r="S1156">
        <v>1</v>
      </c>
      <c r="T1156" s="13">
        <f t="shared" si="20"/>
        <v>1</v>
      </c>
    </row>
    <row r="1157" spans="1:22" s="5" customFormat="1" ht="16.2" thickBot="1" x14ac:dyDescent="0.35">
      <c r="A1157" s="5">
        <v>18</v>
      </c>
      <c r="B1157" s="5">
        <v>1</v>
      </c>
      <c r="C1157" s="5">
        <v>207719</v>
      </c>
      <c r="D1157" s="5" t="s">
        <v>58</v>
      </c>
      <c r="E1157" s="11">
        <v>44098</v>
      </c>
      <c r="F1157" s="5" t="s">
        <v>23</v>
      </c>
      <c r="G1157" s="6" t="s">
        <v>52</v>
      </c>
      <c r="H1157" s="5" t="s">
        <v>238</v>
      </c>
      <c r="S1157" s="5">
        <v>2</v>
      </c>
      <c r="T1157" s="12">
        <f t="shared" si="20"/>
        <v>2</v>
      </c>
      <c r="U1157" s="5" t="s">
        <v>53</v>
      </c>
      <c r="V1157" s="14" t="s">
        <v>94</v>
      </c>
    </row>
    <row r="1158" spans="1:22" x14ac:dyDescent="0.3">
      <c r="A1158">
        <v>18</v>
      </c>
      <c r="B1158">
        <v>2</v>
      </c>
      <c r="C1158">
        <v>207720</v>
      </c>
      <c r="D1158" t="s">
        <v>58</v>
      </c>
      <c r="E1158" s="10">
        <v>44098</v>
      </c>
      <c r="F1158" t="s">
        <v>23</v>
      </c>
      <c r="G1158" s="3" t="s">
        <v>77</v>
      </c>
      <c r="H1158" t="s">
        <v>60</v>
      </c>
      <c r="S1158">
        <v>43</v>
      </c>
      <c r="T1158" s="13">
        <f t="shared" si="20"/>
        <v>43</v>
      </c>
      <c r="U1158" t="s">
        <v>26</v>
      </c>
    </row>
    <row r="1159" spans="1:22" x14ac:dyDescent="0.3">
      <c r="A1159">
        <v>18</v>
      </c>
      <c r="B1159">
        <v>2</v>
      </c>
      <c r="C1159">
        <v>207720</v>
      </c>
      <c r="D1159" t="s">
        <v>58</v>
      </c>
      <c r="E1159" s="10">
        <v>44098</v>
      </c>
      <c r="F1159" t="s">
        <v>23</v>
      </c>
      <c r="G1159" s="3" t="s">
        <v>77</v>
      </c>
      <c r="H1159" t="s">
        <v>274</v>
      </c>
      <c r="S1159">
        <v>4</v>
      </c>
      <c r="T1159" s="13">
        <f t="shared" si="20"/>
        <v>4</v>
      </c>
      <c r="U1159" t="s">
        <v>26</v>
      </c>
    </row>
    <row r="1160" spans="1:22" x14ac:dyDescent="0.3">
      <c r="A1160">
        <v>18</v>
      </c>
      <c r="B1160">
        <v>2</v>
      </c>
      <c r="C1160">
        <v>207720</v>
      </c>
      <c r="D1160" t="s">
        <v>58</v>
      </c>
      <c r="E1160" s="10">
        <v>44098</v>
      </c>
      <c r="F1160" t="s">
        <v>23</v>
      </c>
      <c r="G1160" s="3" t="s">
        <v>77</v>
      </c>
      <c r="H1160" t="s">
        <v>30</v>
      </c>
      <c r="I1160">
        <v>6</v>
      </c>
      <c r="J1160">
        <v>9</v>
      </c>
      <c r="T1160" s="13">
        <f t="shared" si="20"/>
        <v>15</v>
      </c>
      <c r="U1160" t="s">
        <v>26</v>
      </c>
    </row>
    <row r="1161" spans="1:22" x14ac:dyDescent="0.3">
      <c r="A1161">
        <v>18</v>
      </c>
      <c r="B1161">
        <v>2</v>
      </c>
      <c r="C1161">
        <v>207720</v>
      </c>
      <c r="D1161" t="s">
        <v>58</v>
      </c>
      <c r="E1161" s="10">
        <v>44098</v>
      </c>
      <c r="F1161" t="s">
        <v>23</v>
      </c>
      <c r="G1161" s="3" t="s">
        <v>77</v>
      </c>
      <c r="H1161" t="s">
        <v>37</v>
      </c>
      <c r="O1161">
        <v>1</v>
      </c>
      <c r="P1161">
        <v>1</v>
      </c>
      <c r="T1161" s="13">
        <f t="shared" si="20"/>
        <v>2</v>
      </c>
      <c r="U1161" t="s">
        <v>26</v>
      </c>
    </row>
    <row r="1162" spans="1:22" x14ac:dyDescent="0.3">
      <c r="A1162">
        <v>18</v>
      </c>
      <c r="B1162">
        <v>2</v>
      </c>
      <c r="C1162">
        <v>207720</v>
      </c>
      <c r="D1162" t="s">
        <v>58</v>
      </c>
      <c r="E1162" s="10">
        <v>44098</v>
      </c>
      <c r="F1162" t="s">
        <v>23</v>
      </c>
      <c r="G1162" s="3" t="s">
        <v>77</v>
      </c>
      <c r="H1162" t="s">
        <v>34</v>
      </c>
      <c r="P1162">
        <v>1</v>
      </c>
      <c r="Q1162">
        <v>8</v>
      </c>
      <c r="R1162">
        <v>5</v>
      </c>
      <c r="T1162" s="13">
        <f t="shared" si="20"/>
        <v>14</v>
      </c>
      <c r="U1162" t="s">
        <v>26</v>
      </c>
    </row>
    <row r="1163" spans="1:22" x14ac:dyDescent="0.3">
      <c r="A1163">
        <v>18</v>
      </c>
      <c r="B1163">
        <v>2</v>
      </c>
      <c r="C1163">
        <v>207720</v>
      </c>
      <c r="D1163" t="s">
        <v>58</v>
      </c>
      <c r="E1163" s="10">
        <v>44098</v>
      </c>
      <c r="F1163" t="s">
        <v>23</v>
      </c>
      <c r="G1163" s="3" t="s">
        <v>77</v>
      </c>
      <c r="H1163" t="s">
        <v>38</v>
      </c>
      <c r="O1163">
        <v>1</v>
      </c>
      <c r="P1163">
        <v>3</v>
      </c>
      <c r="Q1163">
        <v>3</v>
      </c>
      <c r="R1163">
        <v>1</v>
      </c>
      <c r="T1163" s="13">
        <f t="shared" si="20"/>
        <v>8</v>
      </c>
      <c r="U1163" t="s">
        <v>26</v>
      </c>
    </row>
    <row r="1164" spans="1:22" x14ac:dyDescent="0.3">
      <c r="A1164">
        <v>18</v>
      </c>
      <c r="B1164">
        <v>2</v>
      </c>
      <c r="C1164">
        <v>207720</v>
      </c>
      <c r="D1164" t="s">
        <v>58</v>
      </c>
      <c r="E1164" s="10">
        <v>44098</v>
      </c>
      <c r="F1164" t="s">
        <v>23</v>
      </c>
      <c r="G1164" s="3" t="s">
        <v>77</v>
      </c>
      <c r="H1164" t="s">
        <v>43</v>
      </c>
      <c r="Q1164">
        <v>1</v>
      </c>
      <c r="T1164" s="13">
        <f t="shared" si="20"/>
        <v>1</v>
      </c>
      <c r="U1164" t="s">
        <v>26</v>
      </c>
    </row>
    <row r="1165" spans="1:22" x14ac:dyDescent="0.3">
      <c r="A1165">
        <v>18</v>
      </c>
      <c r="B1165">
        <v>2</v>
      </c>
      <c r="C1165">
        <v>207720</v>
      </c>
      <c r="D1165" t="s">
        <v>58</v>
      </c>
      <c r="E1165" s="10">
        <v>44098</v>
      </c>
      <c r="F1165" t="s">
        <v>23</v>
      </c>
      <c r="G1165" s="3" t="s">
        <v>77</v>
      </c>
      <c r="H1165" t="s">
        <v>46</v>
      </c>
      <c r="Q1165">
        <v>1</v>
      </c>
      <c r="T1165" s="13">
        <f t="shared" si="20"/>
        <v>1</v>
      </c>
      <c r="U1165" t="s">
        <v>26</v>
      </c>
    </row>
    <row r="1166" spans="1:22" x14ac:dyDescent="0.3">
      <c r="A1166">
        <v>18</v>
      </c>
      <c r="B1166">
        <v>2</v>
      </c>
      <c r="C1166">
        <v>207720</v>
      </c>
      <c r="D1166" t="s">
        <v>58</v>
      </c>
      <c r="E1166" s="10">
        <v>44098</v>
      </c>
      <c r="F1166" t="s">
        <v>23</v>
      </c>
      <c r="G1166" s="3" t="s">
        <v>77</v>
      </c>
      <c r="H1166" t="s">
        <v>27</v>
      </c>
      <c r="O1166">
        <v>1</v>
      </c>
      <c r="P1166">
        <v>1</v>
      </c>
      <c r="T1166" s="13">
        <f t="shared" si="20"/>
        <v>2</v>
      </c>
      <c r="U1166" t="s">
        <v>26</v>
      </c>
    </row>
    <row r="1167" spans="1:22" s="5" customFormat="1" ht="16.2" thickBot="1" x14ac:dyDescent="0.35">
      <c r="A1167" s="5">
        <v>18</v>
      </c>
      <c r="B1167" s="5">
        <v>2</v>
      </c>
      <c r="C1167" s="5">
        <v>207720</v>
      </c>
      <c r="D1167" s="5" t="s">
        <v>58</v>
      </c>
      <c r="E1167" s="11">
        <v>44098</v>
      </c>
      <c r="F1167" s="5" t="s">
        <v>23</v>
      </c>
      <c r="G1167" s="6" t="s">
        <v>77</v>
      </c>
      <c r="H1167" s="5" t="s">
        <v>25</v>
      </c>
      <c r="O1167" s="5">
        <v>12</v>
      </c>
      <c r="P1167" s="5">
        <v>117</v>
      </c>
      <c r="T1167" s="12">
        <f t="shared" si="20"/>
        <v>129</v>
      </c>
      <c r="U1167" s="5" t="s">
        <v>26</v>
      </c>
      <c r="V1167" s="14"/>
    </row>
    <row r="1168" spans="1:22" x14ac:dyDescent="0.3">
      <c r="A1168">
        <v>18</v>
      </c>
      <c r="B1168">
        <v>3</v>
      </c>
      <c r="C1168">
        <v>207721</v>
      </c>
      <c r="D1168" t="s">
        <v>58</v>
      </c>
      <c r="E1168" s="10">
        <v>44098</v>
      </c>
      <c r="F1168" t="s">
        <v>23</v>
      </c>
      <c r="G1168" s="3" t="s">
        <v>68</v>
      </c>
      <c r="H1168" t="s">
        <v>25</v>
      </c>
      <c r="O1168">
        <v>19</v>
      </c>
      <c r="P1168">
        <v>50</v>
      </c>
      <c r="Q1168">
        <v>7</v>
      </c>
      <c r="T1168" s="13">
        <f t="shared" si="20"/>
        <v>76</v>
      </c>
      <c r="U1168" t="s">
        <v>26</v>
      </c>
    </row>
    <row r="1169" spans="1:22" x14ac:dyDescent="0.3">
      <c r="A1169">
        <v>18</v>
      </c>
      <c r="B1169">
        <v>3</v>
      </c>
      <c r="C1169">
        <v>207721</v>
      </c>
      <c r="D1169" t="s">
        <v>58</v>
      </c>
      <c r="E1169" s="10">
        <v>44098</v>
      </c>
      <c r="F1169" t="s">
        <v>23</v>
      </c>
      <c r="G1169" s="3" t="s">
        <v>68</v>
      </c>
      <c r="H1169" t="s">
        <v>69</v>
      </c>
      <c r="I1169">
        <v>3</v>
      </c>
      <c r="T1169" s="13">
        <f t="shared" si="20"/>
        <v>3</v>
      </c>
      <c r="U1169" t="s">
        <v>26</v>
      </c>
    </row>
    <row r="1170" spans="1:22" x14ac:dyDescent="0.3">
      <c r="A1170">
        <v>18</v>
      </c>
      <c r="B1170">
        <v>3</v>
      </c>
      <c r="C1170">
        <v>207721</v>
      </c>
      <c r="D1170" t="s">
        <v>58</v>
      </c>
      <c r="E1170" s="10">
        <v>44098</v>
      </c>
      <c r="F1170" t="s">
        <v>23</v>
      </c>
      <c r="G1170" s="3" t="s">
        <v>87</v>
      </c>
      <c r="H1170" t="s">
        <v>41</v>
      </c>
      <c r="S1170">
        <v>3</v>
      </c>
      <c r="T1170" s="13">
        <f t="shared" si="20"/>
        <v>3</v>
      </c>
      <c r="U1170" t="s">
        <v>26</v>
      </c>
    </row>
    <row r="1171" spans="1:22" x14ac:dyDescent="0.3">
      <c r="A1171">
        <v>18</v>
      </c>
      <c r="B1171">
        <v>3</v>
      </c>
      <c r="C1171">
        <v>207721</v>
      </c>
      <c r="D1171" t="s">
        <v>58</v>
      </c>
      <c r="E1171" s="10">
        <v>44098</v>
      </c>
      <c r="F1171" t="s">
        <v>23</v>
      </c>
      <c r="G1171" s="3" t="s">
        <v>87</v>
      </c>
      <c r="H1171" t="s">
        <v>42</v>
      </c>
      <c r="S1171">
        <v>1</v>
      </c>
      <c r="T1171" s="13">
        <f t="shared" si="20"/>
        <v>1</v>
      </c>
      <c r="U1171" t="s">
        <v>26</v>
      </c>
    </row>
    <row r="1172" spans="1:22" x14ac:dyDescent="0.3">
      <c r="A1172">
        <v>18</v>
      </c>
      <c r="B1172">
        <v>3</v>
      </c>
      <c r="C1172">
        <v>207721</v>
      </c>
      <c r="D1172" t="s">
        <v>58</v>
      </c>
      <c r="E1172" s="10">
        <v>44098</v>
      </c>
      <c r="F1172" t="s">
        <v>23</v>
      </c>
      <c r="G1172" s="3" t="s">
        <v>87</v>
      </c>
      <c r="H1172" t="s">
        <v>51</v>
      </c>
      <c r="S1172">
        <v>1</v>
      </c>
      <c r="T1172" s="13">
        <f t="shared" si="20"/>
        <v>1</v>
      </c>
      <c r="U1172" t="s">
        <v>26</v>
      </c>
    </row>
    <row r="1173" spans="1:22" x14ac:dyDescent="0.3">
      <c r="A1173">
        <v>18</v>
      </c>
      <c r="B1173">
        <v>3</v>
      </c>
      <c r="C1173">
        <v>207721</v>
      </c>
      <c r="D1173" t="s">
        <v>58</v>
      </c>
      <c r="E1173" s="10">
        <v>44098</v>
      </c>
      <c r="F1173" t="s">
        <v>23</v>
      </c>
      <c r="G1173" s="3" t="s">
        <v>87</v>
      </c>
      <c r="H1173" t="s">
        <v>30</v>
      </c>
      <c r="I1173">
        <v>15</v>
      </c>
      <c r="J1173">
        <v>4</v>
      </c>
      <c r="T1173" s="13">
        <f t="shared" si="20"/>
        <v>19</v>
      </c>
      <c r="U1173" t="s">
        <v>26</v>
      </c>
    </row>
    <row r="1174" spans="1:22" x14ac:dyDescent="0.3">
      <c r="A1174">
        <v>18</v>
      </c>
      <c r="B1174">
        <v>3</v>
      </c>
      <c r="C1174">
        <v>207721</v>
      </c>
      <c r="D1174" t="s">
        <v>58</v>
      </c>
      <c r="E1174" s="10">
        <v>44098</v>
      </c>
      <c r="F1174" t="s">
        <v>23</v>
      </c>
      <c r="G1174" s="3" t="s">
        <v>87</v>
      </c>
      <c r="H1174" t="s">
        <v>60</v>
      </c>
      <c r="S1174">
        <v>4</v>
      </c>
      <c r="T1174" s="13">
        <f t="shared" si="20"/>
        <v>4</v>
      </c>
      <c r="U1174" t="s">
        <v>26</v>
      </c>
    </row>
    <row r="1175" spans="1:22" x14ac:dyDescent="0.3">
      <c r="A1175">
        <v>18</v>
      </c>
      <c r="B1175">
        <v>3</v>
      </c>
      <c r="C1175">
        <v>207721</v>
      </c>
      <c r="D1175" t="s">
        <v>58</v>
      </c>
      <c r="E1175" s="10">
        <v>44098</v>
      </c>
      <c r="F1175" t="s">
        <v>23</v>
      </c>
      <c r="G1175" s="3" t="s">
        <v>87</v>
      </c>
      <c r="H1175" t="s">
        <v>43</v>
      </c>
      <c r="K1175">
        <v>4</v>
      </c>
      <c r="Q1175">
        <v>35</v>
      </c>
      <c r="R1175">
        <v>4</v>
      </c>
      <c r="T1175" s="13">
        <f t="shared" si="20"/>
        <v>43</v>
      </c>
      <c r="U1175" t="s">
        <v>26</v>
      </c>
    </row>
    <row r="1176" spans="1:22" x14ac:dyDescent="0.3">
      <c r="A1176">
        <v>18</v>
      </c>
      <c r="B1176">
        <v>3</v>
      </c>
      <c r="C1176">
        <v>207721</v>
      </c>
      <c r="D1176" t="s">
        <v>58</v>
      </c>
      <c r="E1176" s="10">
        <v>44098</v>
      </c>
      <c r="F1176" t="s">
        <v>23</v>
      </c>
      <c r="G1176" s="3" t="s">
        <v>87</v>
      </c>
      <c r="H1176" t="s">
        <v>37</v>
      </c>
      <c r="P1176">
        <v>2</v>
      </c>
      <c r="Q1176">
        <v>6</v>
      </c>
      <c r="R1176">
        <v>2</v>
      </c>
      <c r="T1176" s="13">
        <f t="shared" si="20"/>
        <v>10</v>
      </c>
      <c r="U1176" t="s">
        <v>26</v>
      </c>
    </row>
    <row r="1177" spans="1:22" x14ac:dyDescent="0.3">
      <c r="A1177">
        <v>18</v>
      </c>
      <c r="B1177">
        <v>3</v>
      </c>
      <c r="C1177">
        <v>207721</v>
      </c>
      <c r="D1177" t="s">
        <v>58</v>
      </c>
      <c r="E1177" s="10">
        <v>44098</v>
      </c>
      <c r="F1177" t="s">
        <v>23</v>
      </c>
      <c r="G1177" s="3" t="s">
        <v>87</v>
      </c>
      <c r="H1177" t="s">
        <v>38</v>
      </c>
      <c r="P1177">
        <v>4</v>
      </c>
      <c r="Q1177">
        <v>14</v>
      </c>
      <c r="R1177">
        <v>17</v>
      </c>
      <c r="T1177" s="13">
        <f t="shared" si="20"/>
        <v>35</v>
      </c>
      <c r="U1177" t="s">
        <v>26</v>
      </c>
    </row>
    <row r="1178" spans="1:22" x14ac:dyDescent="0.3">
      <c r="A1178">
        <v>18</v>
      </c>
      <c r="B1178">
        <v>3</v>
      </c>
      <c r="C1178">
        <v>207721</v>
      </c>
      <c r="D1178" t="s">
        <v>58</v>
      </c>
      <c r="E1178" s="10">
        <v>44098</v>
      </c>
      <c r="F1178" t="s">
        <v>23</v>
      </c>
      <c r="G1178" s="3" t="s">
        <v>87</v>
      </c>
      <c r="H1178" t="s">
        <v>34</v>
      </c>
      <c r="P1178">
        <v>2</v>
      </c>
      <c r="Q1178">
        <v>2</v>
      </c>
      <c r="R1178">
        <v>5</v>
      </c>
      <c r="T1178" s="13">
        <f t="shared" si="20"/>
        <v>9</v>
      </c>
      <c r="U1178" t="s">
        <v>26</v>
      </c>
    </row>
    <row r="1179" spans="1:22" x14ac:dyDescent="0.3">
      <c r="A1179">
        <v>18</v>
      </c>
      <c r="B1179">
        <v>3</v>
      </c>
      <c r="C1179">
        <v>207721</v>
      </c>
      <c r="D1179" t="s">
        <v>58</v>
      </c>
      <c r="E1179" s="10">
        <v>44098</v>
      </c>
      <c r="F1179" t="s">
        <v>23</v>
      </c>
      <c r="G1179" s="3" t="s">
        <v>87</v>
      </c>
      <c r="H1179" t="s">
        <v>32</v>
      </c>
      <c r="O1179">
        <v>1</v>
      </c>
      <c r="Q1179">
        <v>2</v>
      </c>
      <c r="T1179" s="13">
        <f t="shared" si="20"/>
        <v>3</v>
      </c>
      <c r="U1179" t="s">
        <v>26</v>
      </c>
    </row>
    <row r="1180" spans="1:22" x14ac:dyDescent="0.3">
      <c r="A1180">
        <v>18</v>
      </c>
      <c r="B1180">
        <v>3</v>
      </c>
      <c r="C1180">
        <v>207721</v>
      </c>
      <c r="D1180" t="s">
        <v>58</v>
      </c>
      <c r="E1180" s="10">
        <v>44098</v>
      </c>
      <c r="F1180" t="s">
        <v>23</v>
      </c>
      <c r="G1180" s="3" t="s">
        <v>87</v>
      </c>
      <c r="H1180" t="s">
        <v>44</v>
      </c>
      <c r="Q1180">
        <v>1</v>
      </c>
      <c r="T1180" s="13">
        <f t="shared" si="20"/>
        <v>1</v>
      </c>
      <c r="U1180" t="s">
        <v>26</v>
      </c>
    </row>
    <row r="1181" spans="1:22" x14ac:dyDescent="0.3">
      <c r="A1181">
        <v>18</v>
      </c>
      <c r="B1181">
        <v>3</v>
      </c>
      <c r="C1181">
        <v>207721</v>
      </c>
      <c r="D1181" t="s">
        <v>58</v>
      </c>
      <c r="E1181" s="10">
        <v>44098</v>
      </c>
      <c r="F1181" t="s">
        <v>23</v>
      </c>
      <c r="G1181" s="3" t="s">
        <v>87</v>
      </c>
      <c r="H1181" t="s">
        <v>31</v>
      </c>
      <c r="P1181">
        <v>4</v>
      </c>
      <c r="Q1181">
        <v>2</v>
      </c>
      <c r="T1181" s="13">
        <f t="shared" si="20"/>
        <v>6</v>
      </c>
      <c r="U1181" t="s">
        <v>26</v>
      </c>
    </row>
    <row r="1182" spans="1:22" s="5" customFormat="1" ht="16.2" thickBot="1" x14ac:dyDescent="0.35">
      <c r="A1182" s="5">
        <v>18</v>
      </c>
      <c r="B1182" s="5">
        <v>3</v>
      </c>
      <c r="C1182" s="5">
        <v>207721</v>
      </c>
      <c r="D1182" s="5" t="s">
        <v>58</v>
      </c>
      <c r="E1182" s="11">
        <v>44098</v>
      </c>
      <c r="F1182" s="5" t="s">
        <v>23</v>
      </c>
      <c r="G1182" s="6" t="s">
        <v>87</v>
      </c>
      <c r="H1182" s="5" t="s">
        <v>46</v>
      </c>
      <c r="Q1182" s="5">
        <v>12</v>
      </c>
      <c r="T1182" s="12">
        <f t="shared" si="20"/>
        <v>12</v>
      </c>
      <c r="U1182" s="5" t="s">
        <v>26</v>
      </c>
      <c r="V1182" s="14"/>
    </row>
    <row r="1183" spans="1:22" x14ac:dyDescent="0.3">
      <c r="A1183">
        <v>18</v>
      </c>
      <c r="B1183">
        <v>4</v>
      </c>
      <c r="C1183">
        <v>207722</v>
      </c>
      <c r="D1183" t="s">
        <v>58</v>
      </c>
      <c r="E1183" s="10">
        <v>44098</v>
      </c>
      <c r="F1183" t="s">
        <v>23</v>
      </c>
      <c r="G1183" s="3" t="s">
        <v>72</v>
      </c>
      <c r="H1183" t="s">
        <v>25</v>
      </c>
      <c r="N1183">
        <v>1</v>
      </c>
      <c r="O1183">
        <v>35</v>
      </c>
      <c r="P1183">
        <v>60</v>
      </c>
      <c r="Q1183">
        <v>1</v>
      </c>
      <c r="T1183" s="13">
        <f t="shared" si="20"/>
        <v>97</v>
      </c>
      <c r="U1183" t="s">
        <v>26</v>
      </c>
      <c r="V1183" s="15" t="s">
        <v>95</v>
      </c>
    </row>
    <row r="1184" spans="1:22" x14ac:dyDescent="0.3">
      <c r="A1184">
        <v>18</v>
      </c>
      <c r="B1184">
        <v>4</v>
      </c>
      <c r="C1184">
        <v>207722</v>
      </c>
      <c r="D1184" t="s">
        <v>58</v>
      </c>
      <c r="E1184" s="10">
        <v>44098</v>
      </c>
      <c r="F1184" t="s">
        <v>23</v>
      </c>
      <c r="G1184" s="3" t="s">
        <v>72</v>
      </c>
      <c r="H1184" t="s">
        <v>69</v>
      </c>
      <c r="I1184">
        <v>5</v>
      </c>
      <c r="T1184" s="13">
        <f t="shared" si="20"/>
        <v>5</v>
      </c>
      <c r="U1184" t="s">
        <v>26</v>
      </c>
    </row>
    <row r="1185" spans="1:22" x14ac:dyDescent="0.3">
      <c r="A1185">
        <v>18</v>
      </c>
      <c r="B1185">
        <v>4</v>
      </c>
      <c r="C1185">
        <v>207722</v>
      </c>
      <c r="D1185" t="s">
        <v>58</v>
      </c>
      <c r="E1185" s="10">
        <v>44098</v>
      </c>
      <c r="F1185" t="s">
        <v>23</v>
      </c>
      <c r="G1185" s="3" t="s">
        <v>73</v>
      </c>
      <c r="H1185" t="s">
        <v>30</v>
      </c>
      <c r="I1185">
        <v>14</v>
      </c>
      <c r="J1185">
        <v>11</v>
      </c>
      <c r="T1185" s="13">
        <f t="shared" si="20"/>
        <v>25</v>
      </c>
      <c r="U1185" t="s">
        <v>26</v>
      </c>
    </row>
    <row r="1186" spans="1:22" x14ac:dyDescent="0.3">
      <c r="A1186">
        <v>18</v>
      </c>
      <c r="B1186">
        <v>4</v>
      </c>
      <c r="C1186">
        <v>207722</v>
      </c>
      <c r="D1186" t="s">
        <v>58</v>
      </c>
      <c r="E1186" s="10">
        <v>44098</v>
      </c>
      <c r="F1186" t="s">
        <v>23</v>
      </c>
      <c r="G1186" s="3" t="s">
        <v>73</v>
      </c>
      <c r="H1186" t="s">
        <v>51</v>
      </c>
      <c r="S1186">
        <v>1</v>
      </c>
      <c r="T1186" s="13">
        <f t="shared" si="20"/>
        <v>1</v>
      </c>
      <c r="U1186" t="s">
        <v>26</v>
      </c>
    </row>
    <row r="1187" spans="1:22" x14ac:dyDescent="0.3">
      <c r="A1187">
        <v>18</v>
      </c>
      <c r="B1187">
        <v>4</v>
      </c>
      <c r="C1187">
        <v>207722</v>
      </c>
      <c r="D1187" t="s">
        <v>58</v>
      </c>
      <c r="E1187" s="10">
        <v>44098</v>
      </c>
      <c r="F1187" t="s">
        <v>23</v>
      </c>
      <c r="G1187" s="3" t="s">
        <v>73</v>
      </c>
      <c r="H1187" t="s">
        <v>33</v>
      </c>
      <c r="P1187">
        <v>5</v>
      </c>
      <c r="T1187" s="13">
        <f t="shared" si="20"/>
        <v>5</v>
      </c>
      <c r="U1187" t="s">
        <v>26</v>
      </c>
    </row>
    <row r="1188" spans="1:22" x14ac:dyDescent="0.3">
      <c r="A1188">
        <v>18</v>
      </c>
      <c r="B1188">
        <v>4</v>
      </c>
      <c r="C1188">
        <v>207722</v>
      </c>
      <c r="D1188" t="s">
        <v>58</v>
      </c>
      <c r="E1188" s="10">
        <v>44098</v>
      </c>
      <c r="F1188" t="s">
        <v>23</v>
      </c>
      <c r="G1188" s="3" t="s">
        <v>73</v>
      </c>
      <c r="H1188" t="s">
        <v>60</v>
      </c>
      <c r="S1188">
        <v>2</v>
      </c>
      <c r="T1188" s="13">
        <f t="shared" si="20"/>
        <v>2</v>
      </c>
      <c r="U1188" t="s">
        <v>26</v>
      </c>
    </row>
    <row r="1189" spans="1:22" x14ac:dyDescent="0.3">
      <c r="A1189">
        <v>18</v>
      </c>
      <c r="B1189">
        <v>4</v>
      </c>
      <c r="C1189">
        <v>207722</v>
      </c>
      <c r="D1189" t="s">
        <v>58</v>
      </c>
      <c r="E1189" s="10">
        <v>44098</v>
      </c>
      <c r="F1189" t="s">
        <v>23</v>
      </c>
      <c r="G1189" s="3" t="s">
        <v>73</v>
      </c>
      <c r="H1189" t="s">
        <v>62</v>
      </c>
      <c r="O1189">
        <v>5</v>
      </c>
      <c r="T1189" s="13">
        <f t="shared" si="20"/>
        <v>5</v>
      </c>
      <c r="U1189" t="s">
        <v>26</v>
      </c>
    </row>
    <row r="1190" spans="1:22" x14ac:dyDescent="0.3">
      <c r="A1190">
        <v>18</v>
      </c>
      <c r="B1190">
        <v>4</v>
      </c>
      <c r="C1190">
        <v>207722</v>
      </c>
      <c r="D1190" t="s">
        <v>58</v>
      </c>
      <c r="E1190" s="10">
        <v>44098</v>
      </c>
      <c r="F1190" t="s">
        <v>23</v>
      </c>
      <c r="G1190" s="3" t="s">
        <v>73</v>
      </c>
      <c r="H1190" t="s">
        <v>38</v>
      </c>
      <c r="O1190">
        <v>3</v>
      </c>
      <c r="P1190">
        <v>4</v>
      </c>
      <c r="Q1190">
        <v>25</v>
      </c>
      <c r="R1190">
        <v>25</v>
      </c>
      <c r="T1190" s="13">
        <f t="shared" si="20"/>
        <v>57</v>
      </c>
      <c r="U1190" t="s">
        <v>26</v>
      </c>
    </row>
    <row r="1191" spans="1:22" x14ac:dyDescent="0.3">
      <c r="A1191">
        <v>18</v>
      </c>
      <c r="B1191">
        <v>4</v>
      </c>
      <c r="C1191">
        <v>207722</v>
      </c>
      <c r="D1191" t="s">
        <v>58</v>
      </c>
      <c r="E1191" s="10">
        <v>44098</v>
      </c>
      <c r="F1191" t="s">
        <v>23</v>
      </c>
      <c r="G1191" s="3" t="s">
        <v>73</v>
      </c>
      <c r="H1191" t="s">
        <v>43</v>
      </c>
      <c r="K1191">
        <v>2</v>
      </c>
      <c r="Q1191">
        <v>2</v>
      </c>
      <c r="T1191" s="13">
        <f t="shared" si="20"/>
        <v>4</v>
      </c>
      <c r="U1191" t="s">
        <v>26</v>
      </c>
    </row>
    <row r="1192" spans="1:22" x14ac:dyDescent="0.3">
      <c r="A1192">
        <v>18</v>
      </c>
      <c r="B1192">
        <v>4</v>
      </c>
      <c r="C1192">
        <v>207722</v>
      </c>
      <c r="D1192" t="s">
        <v>58</v>
      </c>
      <c r="E1192" s="10">
        <v>44098</v>
      </c>
      <c r="F1192" t="s">
        <v>23</v>
      </c>
      <c r="G1192" s="3" t="s">
        <v>73</v>
      </c>
      <c r="H1192" t="s">
        <v>37</v>
      </c>
      <c r="Q1192">
        <v>2</v>
      </c>
      <c r="T1192" s="13">
        <f t="shared" si="20"/>
        <v>2</v>
      </c>
      <c r="U1192" t="s">
        <v>26</v>
      </c>
    </row>
    <row r="1193" spans="1:22" x14ac:dyDescent="0.3">
      <c r="A1193">
        <v>18</v>
      </c>
      <c r="B1193">
        <v>4</v>
      </c>
      <c r="C1193">
        <v>207722</v>
      </c>
      <c r="D1193" t="s">
        <v>58</v>
      </c>
      <c r="E1193" s="10">
        <v>44098</v>
      </c>
      <c r="F1193" t="s">
        <v>23</v>
      </c>
      <c r="G1193" s="3" t="s">
        <v>73</v>
      </c>
      <c r="H1193" t="s">
        <v>31</v>
      </c>
      <c r="R1193">
        <v>1</v>
      </c>
      <c r="T1193" s="13">
        <f t="shared" si="20"/>
        <v>1</v>
      </c>
      <c r="U1193" t="s">
        <v>26</v>
      </c>
    </row>
    <row r="1194" spans="1:22" s="5" customFormat="1" ht="16.2" thickBot="1" x14ac:dyDescent="0.35">
      <c r="A1194" s="5">
        <v>18</v>
      </c>
      <c r="B1194" s="5">
        <v>4</v>
      </c>
      <c r="C1194" s="5">
        <v>207722</v>
      </c>
      <c r="D1194" s="5" t="s">
        <v>58</v>
      </c>
      <c r="E1194" s="11">
        <v>44098</v>
      </c>
      <c r="F1194" s="5" t="s">
        <v>23</v>
      </c>
      <c r="G1194" s="6" t="s">
        <v>73</v>
      </c>
      <c r="H1194" s="5" t="s">
        <v>46</v>
      </c>
      <c r="K1194" s="5">
        <v>1</v>
      </c>
      <c r="Q1194" s="5">
        <v>2</v>
      </c>
      <c r="T1194" s="12">
        <f t="shared" si="20"/>
        <v>3</v>
      </c>
      <c r="U1194" s="5" t="s">
        <v>26</v>
      </c>
      <c r="V1194" s="14"/>
    </row>
    <row r="1195" spans="1:22" x14ac:dyDescent="0.3">
      <c r="A1195">
        <v>18</v>
      </c>
      <c r="B1195">
        <v>5</v>
      </c>
      <c r="C1195">
        <v>207723</v>
      </c>
      <c r="D1195" t="s">
        <v>58</v>
      </c>
      <c r="E1195" s="10">
        <v>44098</v>
      </c>
      <c r="F1195" t="s">
        <v>23</v>
      </c>
      <c r="G1195" s="3" t="s">
        <v>68</v>
      </c>
      <c r="H1195" t="s">
        <v>25</v>
      </c>
      <c r="N1195">
        <v>3</v>
      </c>
      <c r="O1195">
        <v>40</v>
      </c>
      <c r="P1195">
        <v>42</v>
      </c>
      <c r="Q1195">
        <v>3</v>
      </c>
      <c r="T1195" s="13">
        <f t="shared" si="20"/>
        <v>88</v>
      </c>
      <c r="U1195" t="s">
        <v>26</v>
      </c>
    </row>
    <row r="1196" spans="1:22" x14ac:dyDescent="0.3">
      <c r="A1196">
        <v>18</v>
      </c>
      <c r="B1196">
        <v>5</v>
      </c>
      <c r="C1196">
        <v>207723</v>
      </c>
      <c r="D1196" t="s">
        <v>58</v>
      </c>
      <c r="E1196" s="10">
        <v>44098</v>
      </c>
      <c r="F1196" t="s">
        <v>23</v>
      </c>
      <c r="G1196" s="3" t="s">
        <v>68</v>
      </c>
      <c r="H1196" t="s">
        <v>27</v>
      </c>
      <c r="M1196">
        <v>2</v>
      </c>
      <c r="T1196" s="13">
        <f t="shared" si="20"/>
        <v>2</v>
      </c>
      <c r="U1196" t="s">
        <v>26</v>
      </c>
    </row>
    <row r="1197" spans="1:22" x14ac:dyDescent="0.3">
      <c r="A1197">
        <v>18</v>
      </c>
      <c r="B1197">
        <v>5</v>
      </c>
      <c r="C1197">
        <v>207723</v>
      </c>
      <c r="D1197" t="s">
        <v>58</v>
      </c>
      <c r="E1197" s="10">
        <v>44098</v>
      </c>
      <c r="F1197" t="s">
        <v>23</v>
      </c>
      <c r="G1197" s="3" t="s">
        <v>68</v>
      </c>
      <c r="H1197" t="s">
        <v>69</v>
      </c>
      <c r="I1197">
        <v>1</v>
      </c>
      <c r="T1197" s="13">
        <f t="shared" si="20"/>
        <v>1</v>
      </c>
      <c r="U1197" t="s">
        <v>26</v>
      </c>
    </row>
    <row r="1198" spans="1:22" x14ac:dyDescent="0.3">
      <c r="A1198">
        <v>18</v>
      </c>
      <c r="B1198">
        <v>5</v>
      </c>
      <c r="C1198">
        <v>207723</v>
      </c>
      <c r="D1198" t="s">
        <v>58</v>
      </c>
      <c r="E1198" s="10">
        <v>44098</v>
      </c>
      <c r="F1198" t="s">
        <v>23</v>
      </c>
      <c r="G1198" s="3" t="s">
        <v>54</v>
      </c>
      <c r="H1198" t="s">
        <v>30</v>
      </c>
      <c r="I1198">
        <v>10</v>
      </c>
      <c r="J1198">
        <v>43</v>
      </c>
      <c r="T1198" s="13">
        <f t="shared" si="20"/>
        <v>53</v>
      </c>
      <c r="U1198" t="s">
        <v>26</v>
      </c>
    </row>
    <row r="1199" spans="1:22" x14ac:dyDescent="0.3">
      <c r="A1199">
        <v>18</v>
      </c>
      <c r="B1199">
        <v>5</v>
      </c>
      <c r="C1199">
        <v>207723</v>
      </c>
      <c r="D1199" t="s">
        <v>58</v>
      </c>
      <c r="E1199" s="10">
        <v>44098</v>
      </c>
      <c r="F1199" t="s">
        <v>23</v>
      </c>
      <c r="G1199" s="3" t="s">
        <v>54</v>
      </c>
      <c r="H1199" t="s">
        <v>38</v>
      </c>
      <c r="O1199">
        <v>23</v>
      </c>
      <c r="P1199">
        <v>23</v>
      </c>
      <c r="Q1199">
        <v>9</v>
      </c>
      <c r="R1199">
        <v>6</v>
      </c>
      <c r="T1199" s="13">
        <f t="shared" si="20"/>
        <v>61</v>
      </c>
      <c r="U1199" t="s">
        <v>26</v>
      </c>
    </row>
    <row r="1200" spans="1:22" x14ac:dyDescent="0.3">
      <c r="A1200">
        <v>18</v>
      </c>
      <c r="B1200">
        <v>5</v>
      </c>
      <c r="C1200">
        <v>207723</v>
      </c>
      <c r="D1200" t="s">
        <v>58</v>
      </c>
      <c r="E1200" s="10">
        <v>44098</v>
      </c>
      <c r="F1200" t="s">
        <v>23</v>
      </c>
      <c r="G1200" s="3" t="s">
        <v>54</v>
      </c>
      <c r="H1200" t="s">
        <v>31</v>
      </c>
      <c r="O1200">
        <v>2</v>
      </c>
      <c r="P1200">
        <v>3</v>
      </c>
      <c r="Q1200">
        <v>1</v>
      </c>
      <c r="R1200">
        <v>5</v>
      </c>
      <c r="T1200" s="13">
        <f t="shared" si="20"/>
        <v>11</v>
      </c>
      <c r="U1200" t="s">
        <v>26</v>
      </c>
    </row>
    <row r="1201" spans="1:22" x14ac:dyDescent="0.3">
      <c r="A1201">
        <v>18</v>
      </c>
      <c r="B1201">
        <v>5</v>
      </c>
      <c r="C1201">
        <v>207723</v>
      </c>
      <c r="D1201" t="s">
        <v>58</v>
      </c>
      <c r="E1201" s="10">
        <v>44098</v>
      </c>
      <c r="F1201" t="s">
        <v>23</v>
      </c>
      <c r="G1201" s="3" t="s">
        <v>54</v>
      </c>
      <c r="H1201" t="s">
        <v>41</v>
      </c>
      <c r="S1201">
        <v>3</v>
      </c>
      <c r="T1201" s="13">
        <f t="shared" si="20"/>
        <v>3</v>
      </c>
      <c r="U1201" t="s">
        <v>26</v>
      </c>
    </row>
    <row r="1202" spans="1:22" x14ac:dyDescent="0.3">
      <c r="A1202">
        <v>18</v>
      </c>
      <c r="B1202">
        <v>5</v>
      </c>
      <c r="C1202">
        <v>207723</v>
      </c>
      <c r="D1202" t="s">
        <v>58</v>
      </c>
      <c r="E1202" s="10">
        <v>44098</v>
      </c>
      <c r="F1202" t="s">
        <v>23</v>
      </c>
      <c r="G1202" s="3" t="s">
        <v>54</v>
      </c>
      <c r="H1202" t="s">
        <v>74</v>
      </c>
      <c r="Q1202">
        <v>1</v>
      </c>
      <c r="T1202" s="13">
        <f t="shared" si="20"/>
        <v>1</v>
      </c>
      <c r="U1202" t="s">
        <v>26</v>
      </c>
    </row>
    <row r="1203" spans="1:22" x14ac:dyDescent="0.3">
      <c r="A1203">
        <v>18</v>
      </c>
      <c r="B1203">
        <v>5</v>
      </c>
      <c r="C1203">
        <v>207723</v>
      </c>
      <c r="D1203" t="s">
        <v>58</v>
      </c>
      <c r="E1203" s="10">
        <v>44098</v>
      </c>
      <c r="F1203" t="s">
        <v>23</v>
      </c>
      <c r="G1203" s="3" t="s">
        <v>54</v>
      </c>
      <c r="H1203" t="s">
        <v>46</v>
      </c>
      <c r="Q1203">
        <v>13</v>
      </c>
      <c r="T1203" s="13">
        <f t="shared" si="20"/>
        <v>13</v>
      </c>
      <c r="U1203" t="s">
        <v>26</v>
      </c>
    </row>
    <row r="1204" spans="1:22" x14ac:dyDescent="0.3">
      <c r="A1204">
        <v>18</v>
      </c>
      <c r="B1204">
        <v>5</v>
      </c>
      <c r="C1204">
        <v>207723</v>
      </c>
      <c r="D1204" t="s">
        <v>58</v>
      </c>
      <c r="E1204" s="10">
        <v>44098</v>
      </c>
      <c r="F1204" t="s">
        <v>23</v>
      </c>
      <c r="G1204" s="3" t="s">
        <v>54</v>
      </c>
      <c r="H1204" t="s">
        <v>45</v>
      </c>
      <c r="K1204">
        <v>5</v>
      </c>
      <c r="T1204" s="13">
        <f t="shared" si="20"/>
        <v>5</v>
      </c>
      <c r="U1204" t="s">
        <v>26</v>
      </c>
    </row>
    <row r="1205" spans="1:22" x14ac:dyDescent="0.3">
      <c r="A1205">
        <v>18</v>
      </c>
      <c r="B1205">
        <v>5</v>
      </c>
      <c r="C1205">
        <v>207723</v>
      </c>
      <c r="D1205" t="s">
        <v>58</v>
      </c>
      <c r="E1205" s="10">
        <v>44098</v>
      </c>
      <c r="F1205" t="s">
        <v>23</v>
      </c>
      <c r="G1205" s="3" t="s">
        <v>54</v>
      </c>
      <c r="H1205" t="s">
        <v>51</v>
      </c>
      <c r="S1205">
        <v>1</v>
      </c>
      <c r="T1205" s="13">
        <f t="shared" si="20"/>
        <v>1</v>
      </c>
      <c r="U1205" t="s">
        <v>26</v>
      </c>
    </row>
    <row r="1206" spans="1:22" x14ac:dyDescent="0.3">
      <c r="A1206">
        <v>18</v>
      </c>
      <c r="B1206">
        <v>5</v>
      </c>
      <c r="C1206">
        <v>207723</v>
      </c>
      <c r="D1206" t="s">
        <v>58</v>
      </c>
      <c r="E1206" s="10">
        <v>44098</v>
      </c>
      <c r="F1206" t="s">
        <v>23</v>
      </c>
      <c r="G1206" s="3" t="s">
        <v>54</v>
      </c>
      <c r="H1206" t="s">
        <v>56</v>
      </c>
      <c r="S1206">
        <v>1</v>
      </c>
      <c r="T1206" s="13">
        <f t="shared" ref="T1206:T1268" si="21">SUM(I1206:S1206)</f>
        <v>1</v>
      </c>
      <c r="U1206" t="s">
        <v>26</v>
      </c>
    </row>
    <row r="1207" spans="1:22" x14ac:dyDescent="0.3">
      <c r="A1207">
        <v>18</v>
      </c>
      <c r="B1207">
        <v>5</v>
      </c>
      <c r="C1207">
        <v>207723</v>
      </c>
      <c r="D1207" t="s">
        <v>58</v>
      </c>
      <c r="E1207" s="10">
        <v>44098</v>
      </c>
      <c r="F1207" t="s">
        <v>23</v>
      </c>
      <c r="G1207" s="3" t="s">
        <v>54</v>
      </c>
      <c r="H1207" t="s">
        <v>55</v>
      </c>
      <c r="S1207">
        <v>1</v>
      </c>
      <c r="T1207" s="13">
        <f t="shared" si="21"/>
        <v>1</v>
      </c>
      <c r="U1207" t="s">
        <v>26</v>
      </c>
    </row>
    <row r="1208" spans="1:22" s="5" customFormat="1" ht="31.8" thickBot="1" x14ac:dyDescent="0.35">
      <c r="A1208" s="5">
        <v>18</v>
      </c>
      <c r="B1208" s="5">
        <v>5</v>
      </c>
      <c r="C1208" s="5">
        <v>207723</v>
      </c>
      <c r="D1208" s="5" t="s">
        <v>58</v>
      </c>
      <c r="E1208" s="11">
        <v>44098</v>
      </c>
      <c r="F1208" s="5" t="s">
        <v>23</v>
      </c>
      <c r="G1208" s="6" t="s">
        <v>52</v>
      </c>
      <c r="H1208" s="5" t="s">
        <v>89</v>
      </c>
      <c r="S1208" s="5">
        <v>1</v>
      </c>
      <c r="T1208" s="12">
        <f t="shared" si="21"/>
        <v>1</v>
      </c>
      <c r="U1208" s="5" t="s">
        <v>53</v>
      </c>
      <c r="V1208" s="14" t="s">
        <v>96</v>
      </c>
    </row>
    <row r="1209" spans="1:22" x14ac:dyDescent="0.3">
      <c r="A1209">
        <v>19</v>
      </c>
      <c r="B1209">
        <v>1</v>
      </c>
      <c r="C1209">
        <v>207724</v>
      </c>
      <c r="D1209" t="s">
        <v>58</v>
      </c>
      <c r="E1209" s="10">
        <v>44099</v>
      </c>
      <c r="F1209" t="s">
        <v>23</v>
      </c>
      <c r="G1209" s="3" t="s">
        <v>54</v>
      </c>
      <c r="H1209" t="s">
        <v>79</v>
      </c>
      <c r="S1209">
        <v>10</v>
      </c>
      <c r="T1209" s="13">
        <f t="shared" si="21"/>
        <v>10</v>
      </c>
      <c r="U1209" t="s">
        <v>26</v>
      </c>
    </row>
    <row r="1210" spans="1:22" x14ac:dyDescent="0.3">
      <c r="A1210">
        <v>19</v>
      </c>
      <c r="B1210">
        <v>1</v>
      </c>
      <c r="C1210">
        <v>207724</v>
      </c>
      <c r="D1210" t="s">
        <v>58</v>
      </c>
      <c r="E1210" s="10">
        <v>44099</v>
      </c>
      <c r="F1210" t="s">
        <v>23</v>
      </c>
      <c r="G1210" s="3" t="s">
        <v>54</v>
      </c>
      <c r="H1210" t="s">
        <v>274</v>
      </c>
      <c r="S1210">
        <v>8</v>
      </c>
      <c r="T1210" s="13">
        <f t="shared" si="21"/>
        <v>8</v>
      </c>
      <c r="U1210" t="s">
        <v>26</v>
      </c>
    </row>
    <row r="1211" spans="1:22" x14ac:dyDescent="0.3">
      <c r="A1211">
        <v>19</v>
      </c>
      <c r="B1211">
        <v>1</v>
      </c>
      <c r="C1211">
        <v>207724</v>
      </c>
      <c r="D1211" t="s">
        <v>58</v>
      </c>
      <c r="E1211" s="10">
        <v>44099</v>
      </c>
      <c r="F1211" t="s">
        <v>23</v>
      </c>
      <c r="G1211" s="3" t="s">
        <v>54</v>
      </c>
      <c r="H1211" t="s">
        <v>49</v>
      </c>
      <c r="I1211">
        <v>1</v>
      </c>
      <c r="T1211" s="13">
        <f t="shared" si="21"/>
        <v>1</v>
      </c>
      <c r="U1211" t="s">
        <v>26</v>
      </c>
    </row>
    <row r="1212" spans="1:22" x14ac:dyDescent="0.3">
      <c r="A1212">
        <v>19</v>
      </c>
      <c r="B1212">
        <v>1</v>
      </c>
      <c r="C1212">
        <v>207724</v>
      </c>
      <c r="D1212" t="s">
        <v>58</v>
      </c>
      <c r="E1212" s="10">
        <v>44099</v>
      </c>
      <c r="F1212" t="s">
        <v>23</v>
      </c>
      <c r="G1212" s="3" t="s">
        <v>54</v>
      </c>
      <c r="H1212" t="s">
        <v>66</v>
      </c>
      <c r="P1212">
        <v>2</v>
      </c>
      <c r="T1212" s="13">
        <f t="shared" si="21"/>
        <v>2</v>
      </c>
      <c r="U1212" t="s">
        <v>26</v>
      </c>
    </row>
    <row r="1213" spans="1:22" x14ac:dyDescent="0.3">
      <c r="A1213">
        <v>19</v>
      </c>
      <c r="B1213">
        <v>1</v>
      </c>
      <c r="C1213">
        <v>207724</v>
      </c>
      <c r="D1213" t="s">
        <v>58</v>
      </c>
      <c r="E1213" s="10">
        <v>44099</v>
      </c>
      <c r="F1213" t="s">
        <v>23</v>
      </c>
      <c r="G1213" s="3" t="s">
        <v>54</v>
      </c>
      <c r="H1213" t="s">
        <v>32</v>
      </c>
      <c r="O1213">
        <v>2</v>
      </c>
      <c r="T1213" s="13">
        <f t="shared" si="21"/>
        <v>2</v>
      </c>
      <c r="U1213" t="s">
        <v>26</v>
      </c>
    </row>
    <row r="1214" spans="1:22" x14ac:dyDescent="0.3">
      <c r="A1214">
        <v>19</v>
      </c>
      <c r="B1214">
        <v>1</v>
      </c>
      <c r="C1214">
        <v>207724</v>
      </c>
      <c r="D1214" t="s">
        <v>58</v>
      </c>
      <c r="E1214" s="10">
        <v>44099</v>
      </c>
      <c r="F1214" t="s">
        <v>23</v>
      </c>
      <c r="G1214" s="3" t="s">
        <v>54</v>
      </c>
      <c r="H1214" t="s">
        <v>31</v>
      </c>
      <c r="P1214">
        <v>1</v>
      </c>
      <c r="T1214" s="13">
        <f t="shared" si="21"/>
        <v>1</v>
      </c>
      <c r="U1214" t="s">
        <v>26</v>
      </c>
    </row>
    <row r="1215" spans="1:22" x14ac:dyDescent="0.3">
      <c r="A1215">
        <v>19</v>
      </c>
      <c r="B1215">
        <v>1</v>
      </c>
      <c r="C1215">
        <v>207724</v>
      </c>
      <c r="D1215" t="s">
        <v>58</v>
      </c>
      <c r="E1215" s="10">
        <v>44099</v>
      </c>
      <c r="F1215" t="s">
        <v>23</v>
      </c>
      <c r="G1215" s="3" t="s">
        <v>54</v>
      </c>
      <c r="H1215" t="s">
        <v>46</v>
      </c>
      <c r="Q1215">
        <v>5</v>
      </c>
      <c r="T1215" s="13">
        <f t="shared" si="21"/>
        <v>5</v>
      </c>
      <c r="U1215" t="s">
        <v>26</v>
      </c>
    </row>
    <row r="1216" spans="1:22" x14ac:dyDescent="0.3">
      <c r="A1216">
        <v>19</v>
      </c>
      <c r="B1216">
        <v>1</v>
      </c>
      <c r="C1216">
        <v>207724</v>
      </c>
      <c r="D1216" t="s">
        <v>58</v>
      </c>
      <c r="E1216" s="10">
        <v>44099</v>
      </c>
      <c r="F1216" t="s">
        <v>23</v>
      </c>
      <c r="G1216" s="3" t="s">
        <v>54</v>
      </c>
      <c r="H1216" t="s">
        <v>45</v>
      </c>
      <c r="I1216">
        <v>1</v>
      </c>
      <c r="K1216">
        <v>2</v>
      </c>
      <c r="T1216" s="13">
        <f t="shared" si="21"/>
        <v>3</v>
      </c>
      <c r="U1216" t="s">
        <v>26</v>
      </c>
    </row>
    <row r="1217" spans="1:22" x14ac:dyDescent="0.3">
      <c r="A1217">
        <v>19</v>
      </c>
      <c r="B1217">
        <v>1</v>
      </c>
      <c r="C1217">
        <v>207724</v>
      </c>
      <c r="D1217" t="s">
        <v>58</v>
      </c>
      <c r="E1217" s="10">
        <v>44099</v>
      </c>
      <c r="F1217" t="s">
        <v>23</v>
      </c>
      <c r="G1217" s="3" t="s">
        <v>54</v>
      </c>
      <c r="H1217" t="s">
        <v>62</v>
      </c>
      <c r="R1217">
        <v>1</v>
      </c>
      <c r="T1217" s="13">
        <f t="shared" si="21"/>
        <v>1</v>
      </c>
      <c r="U1217" t="s">
        <v>26</v>
      </c>
    </row>
    <row r="1218" spans="1:22" x14ac:dyDescent="0.3">
      <c r="A1218">
        <v>19</v>
      </c>
      <c r="B1218">
        <v>1</v>
      </c>
      <c r="C1218">
        <v>207724</v>
      </c>
      <c r="D1218" t="s">
        <v>58</v>
      </c>
      <c r="E1218" s="10">
        <v>44099</v>
      </c>
      <c r="F1218" t="s">
        <v>23</v>
      </c>
      <c r="G1218" s="3" t="s">
        <v>54</v>
      </c>
      <c r="H1218" t="s">
        <v>34</v>
      </c>
      <c r="Q1218">
        <v>6</v>
      </c>
      <c r="R1218">
        <v>4</v>
      </c>
      <c r="T1218" s="13">
        <f t="shared" si="21"/>
        <v>10</v>
      </c>
      <c r="U1218" t="s">
        <v>26</v>
      </c>
    </row>
    <row r="1219" spans="1:22" x14ac:dyDescent="0.3">
      <c r="A1219">
        <v>19</v>
      </c>
      <c r="B1219">
        <v>1</v>
      </c>
      <c r="C1219">
        <v>207724</v>
      </c>
      <c r="D1219" t="s">
        <v>58</v>
      </c>
      <c r="E1219" s="10">
        <v>44099</v>
      </c>
      <c r="F1219" t="s">
        <v>23</v>
      </c>
      <c r="G1219" s="3" t="s">
        <v>54</v>
      </c>
      <c r="H1219" t="s">
        <v>25</v>
      </c>
      <c r="I1219">
        <v>1</v>
      </c>
      <c r="O1219">
        <v>3</v>
      </c>
      <c r="P1219">
        <v>144</v>
      </c>
      <c r="Q1219">
        <v>2</v>
      </c>
      <c r="T1219" s="13">
        <f t="shared" si="21"/>
        <v>150</v>
      </c>
      <c r="U1219" t="s">
        <v>26</v>
      </c>
    </row>
    <row r="1220" spans="1:22" x14ac:dyDescent="0.3">
      <c r="A1220">
        <v>19</v>
      </c>
      <c r="B1220">
        <v>1</v>
      </c>
      <c r="C1220">
        <v>207724</v>
      </c>
      <c r="D1220" t="s">
        <v>58</v>
      </c>
      <c r="E1220" s="10">
        <v>44099</v>
      </c>
      <c r="F1220" t="s">
        <v>23</v>
      </c>
      <c r="G1220" s="3" t="s">
        <v>54</v>
      </c>
      <c r="H1220" t="s">
        <v>69</v>
      </c>
      <c r="I1220">
        <v>1</v>
      </c>
      <c r="T1220" s="13">
        <f t="shared" si="21"/>
        <v>1</v>
      </c>
      <c r="U1220" t="s">
        <v>26</v>
      </c>
    </row>
    <row r="1221" spans="1:22" x14ac:dyDescent="0.3">
      <c r="A1221">
        <v>19</v>
      </c>
      <c r="B1221">
        <v>1</v>
      </c>
      <c r="C1221">
        <v>207724</v>
      </c>
      <c r="D1221" t="s">
        <v>58</v>
      </c>
      <c r="E1221" s="10">
        <v>44099</v>
      </c>
      <c r="F1221" t="s">
        <v>23</v>
      </c>
      <c r="G1221" s="3" t="s">
        <v>54</v>
      </c>
      <c r="H1221" t="s">
        <v>186</v>
      </c>
      <c r="O1221">
        <v>1</v>
      </c>
      <c r="P1221">
        <v>1</v>
      </c>
      <c r="T1221" s="13">
        <f t="shared" si="21"/>
        <v>2</v>
      </c>
      <c r="U1221" t="s">
        <v>26</v>
      </c>
    </row>
    <row r="1222" spans="1:22" x14ac:dyDescent="0.3">
      <c r="A1222">
        <v>19</v>
      </c>
      <c r="B1222">
        <v>1</v>
      </c>
      <c r="C1222">
        <v>207724</v>
      </c>
      <c r="D1222" t="s">
        <v>58</v>
      </c>
      <c r="E1222" s="10">
        <v>44099</v>
      </c>
      <c r="F1222" t="s">
        <v>23</v>
      </c>
      <c r="G1222" s="3" t="s">
        <v>52</v>
      </c>
      <c r="H1222" t="s">
        <v>82</v>
      </c>
      <c r="S1222">
        <v>20</v>
      </c>
      <c r="T1222" s="13">
        <f t="shared" si="21"/>
        <v>20</v>
      </c>
      <c r="U1222" t="s">
        <v>53</v>
      </c>
    </row>
    <row r="1223" spans="1:22" x14ac:dyDescent="0.3">
      <c r="A1223">
        <v>19</v>
      </c>
      <c r="B1223">
        <v>1</v>
      </c>
      <c r="C1223">
        <v>207724</v>
      </c>
      <c r="D1223" t="s">
        <v>58</v>
      </c>
      <c r="E1223" s="10">
        <v>44099</v>
      </c>
      <c r="F1223" t="s">
        <v>23</v>
      </c>
      <c r="G1223" s="3" t="s">
        <v>52</v>
      </c>
      <c r="H1223" t="s">
        <v>65</v>
      </c>
      <c r="S1223">
        <v>4</v>
      </c>
      <c r="T1223" s="13">
        <f t="shared" si="21"/>
        <v>4</v>
      </c>
      <c r="U1223" t="s">
        <v>53</v>
      </c>
    </row>
    <row r="1224" spans="1:22" s="5" customFormat="1" ht="16.2" thickBot="1" x14ac:dyDescent="0.35">
      <c r="A1224" s="5">
        <v>19</v>
      </c>
      <c r="B1224" s="5">
        <v>1</v>
      </c>
      <c r="C1224" s="5">
        <v>207724</v>
      </c>
      <c r="D1224" s="5" t="s">
        <v>58</v>
      </c>
      <c r="E1224" s="11">
        <v>44099</v>
      </c>
      <c r="F1224" s="5" t="s">
        <v>23</v>
      </c>
      <c r="G1224" s="6" t="s">
        <v>52</v>
      </c>
      <c r="H1224" s="5" t="s">
        <v>238</v>
      </c>
      <c r="S1224" s="5">
        <v>4</v>
      </c>
      <c r="T1224" s="12">
        <f t="shared" si="21"/>
        <v>4</v>
      </c>
      <c r="U1224" s="5" t="s">
        <v>53</v>
      </c>
      <c r="V1224" s="14"/>
    </row>
    <row r="1225" spans="1:22" x14ac:dyDescent="0.3">
      <c r="A1225">
        <v>19</v>
      </c>
      <c r="B1225">
        <v>2</v>
      </c>
      <c r="C1225">
        <v>207725</v>
      </c>
      <c r="D1225" t="s">
        <v>58</v>
      </c>
      <c r="E1225" s="10">
        <v>44099</v>
      </c>
      <c r="F1225" t="s">
        <v>23</v>
      </c>
      <c r="G1225" s="3" t="s">
        <v>54</v>
      </c>
      <c r="H1225" t="s">
        <v>25</v>
      </c>
      <c r="O1225">
        <v>10</v>
      </c>
      <c r="P1225">
        <v>147</v>
      </c>
      <c r="Q1225">
        <v>4</v>
      </c>
      <c r="T1225" s="13">
        <f t="shared" si="21"/>
        <v>161</v>
      </c>
      <c r="U1225" t="s">
        <v>26</v>
      </c>
    </row>
    <row r="1226" spans="1:22" x14ac:dyDescent="0.3">
      <c r="A1226">
        <v>19</v>
      </c>
      <c r="B1226">
        <v>2</v>
      </c>
      <c r="C1226">
        <v>207725</v>
      </c>
      <c r="D1226" t="s">
        <v>58</v>
      </c>
      <c r="E1226" s="10">
        <v>44099</v>
      </c>
      <c r="F1226" t="s">
        <v>23</v>
      </c>
      <c r="G1226" s="3" t="s">
        <v>54</v>
      </c>
      <c r="H1226" t="s">
        <v>27</v>
      </c>
      <c r="P1226">
        <v>4</v>
      </c>
      <c r="T1226" s="13">
        <f t="shared" si="21"/>
        <v>4</v>
      </c>
      <c r="U1226" t="s">
        <v>26</v>
      </c>
    </row>
    <row r="1227" spans="1:22" x14ac:dyDescent="0.3">
      <c r="A1227">
        <v>19</v>
      </c>
      <c r="B1227">
        <v>2</v>
      </c>
      <c r="C1227">
        <v>207725</v>
      </c>
      <c r="D1227" t="s">
        <v>58</v>
      </c>
      <c r="E1227" s="10">
        <v>44099</v>
      </c>
      <c r="F1227" t="s">
        <v>23</v>
      </c>
      <c r="G1227" s="3" t="s">
        <v>54</v>
      </c>
      <c r="H1227" t="s">
        <v>186</v>
      </c>
      <c r="I1227">
        <v>1</v>
      </c>
      <c r="T1227" s="13">
        <f t="shared" si="21"/>
        <v>1</v>
      </c>
      <c r="U1227" t="s">
        <v>26</v>
      </c>
    </row>
    <row r="1228" spans="1:22" x14ac:dyDescent="0.3">
      <c r="A1228">
        <v>19</v>
      </c>
      <c r="B1228">
        <v>2</v>
      </c>
      <c r="C1228">
        <v>207725</v>
      </c>
      <c r="D1228" t="s">
        <v>58</v>
      </c>
      <c r="E1228" s="10">
        <v>44099</v>
      </c>
      <c r="F1228" t="s">
        <v>23</v>
      </c>
      <c r="G1228" s="3" t="s">
        <v>54</v>
      </c>
      <c r="H1228" t="s">
        <v>30</v>
      </c>
      <c r="I1228">
        <v>2</v>
      </c>
      <c r="J1228">
        <v>22</v>
      </c>
      <c r="T1228" s="13">
        <f t="shared" si="21"/>
        <v>24</v>
      </c>
      <c r="U1228" t="s">
        <v>26</v>
      </c>
    </row>
    <row r="1229" spans="1:22" x14ac:dyDescent="0.3">
      <c r="A1229">
        <v>19</v>
      </c>
      <c r="B1229">
        <v>2</v>
      </c>
      <c r="C1229">
        <v>207725</v>
      </c>
      <c r="D1229" t="s">
        <v>58</v>
      </c>
      <c r="E1229" s="10">
        <v>44099</v>
      </c>
      <c r="F1229" t="s">
        <v>23</v>
      </c>
      <c r="G1229" s="3" t="s">
        <v>54</v>
      </c>
      <c r="H1229" t="s">
        <v>34</v>
      </c>
      <c r="P1229">
        <v>1</v>
      </c>
      <c r="Q1229">
        <v>6</v>
      </c>
      <c r="R1229">
        <v>15</v>
      </c>
      <c r="T1229" s="13">
        <f t="shared" si="21"/>
        <v>22</v>
      </c>
      <c r="U1229" t="s">
        <v>26</v>
      </c>
    </row>
    <row r="1230" spans="1:22" x14ac:dyDescent="0.3">
      <c r="A1230">
        <v>19</v>
      </c>
      <c r="B1230">
        <v>2</v>
      </c>
      <c r="C1230">
        <v>207725</v>
      </c>
      <c r="D1230" t="s">
        <v>58</v>
      </c>
      <c r="E1230" s="10">
        <v>44099</v>
      </c>
      <c r="F1230" t="s">
        <v>23</v>
      </c>
      <c r="G1230" s="3" t="s">
        <v>54</v>
      </c>
      <c r="H1230" t="s">
        <v>37</v>
      </c>
      <c r="Q1230">
        <v>6</v>
      </c>
      <c r="R1230">
        <v>1</v>
      </c>
      <c r="T1230" s="13">
        <f t="shared" si="21"/>
        <v>7</v>
      </c>
      <c r="U1230" t="s">
        <v>26</v>
      </c>
    </row>
    <row r="1231" spans="1:22" x14ac:dyDescent="0.3">
      <c r="A1231">
        <v>19</v>
      </c>
      <c r="B1231">
        <v>2</v>
      </c>
      <c r="C1231">
        <v>207725</v>
      </c>
      <c r="D1231" t="s">
        <v>58</v>
      </c>
      <c r="E1231" s="10">
        <v>44099</v>
      </c>
      <c r="F1231" t="s">
        <v>23</v>
      </c>
      <c r="G1231" s="3" t="s">
        <v>54</v>
      </c>
      <c r="H1231" t="s">
        <v>38</v>
      </c>
      <c r="Q1231">
        <v>1</v>
      </c>
      <c r="R1231">
        <v>1</v>
      </c>
      <c r="T1231" s="13">
        <f t="shared" si="21"/>
        <v>2</v>
      </c>
      <c r="U1231" t="s">
        <v>26</v>
      </c>
    </row>
    <row r="1232" spans="1:22" x14ac:dyDescent="0.3">
      <c r="A1232">
        <v>19</v>
      </c>
      <c r="B1232">
        <v>2</v>
      </c>
      <c r="C1232">
        <v>207725</v>
      </c>
      <c r="D1232" t="s">
        <v>58</v>
      </c>
      <c r="E1232" s="10">
        <v>44099</v>
      </c>
      <c r="F1232" t="s">
        <v>23</v>
      </c>
      <c r="G1232" s="3" t="s">
        <v>54</v>
      </c>
      <c r="H1232" t="s">
        <v>32</v>
      </c>
      <c r="K1232">
        <v>7</v>
      </c>
      <c r="T1232" s="13">
        <f t="shared" si="21"/>
        <v>7</v>
      </c>
      <c r="U1232" t="s">
        <v>26</v>
      </c>
    </row>
    <row r="1233" spans="1:22" x14ac:dyDescent="0.3">
      <c r="A1233">
        <v>19</v>
      </c>
      <c r="B1233">
        <v>2</v>
      </c>
      <c r="C1233">
        <v>207725</v>
      </c>
      <c r="D1233" t="s">
        <v>58</v>
      </c>
      <c r="E1233" s="10">
        <v>44099</v>
      </c>
      <c r="F1233" t="s">
        <v>23</v>
      </c>
      <c r="G1233" s="3" t="s">
        <v>54</v>
      </c>
      <c r="H1233" t="s">
        <v>270</v>
      </c>
      <c r="S1233">
        <v>1</v>
      </c>
      <c r="T1233" s="13">
        <f t="shared" si="21"/>
        <v>1</v>
      </c>
      <c r="U1233" t="s">
        <v>26</v>
      </c>
    </row>
    <row r="1234" spans="1:22" x14ac:dyDescent="0.3">
      <c r="A1234">
        <v>19</v>
      </c>
      <c r="B1234">
        <v>2</v>
      </c>
      <c r="C1234">
        <v>207725</v>
      </c>
      <c r="D1234" t="s">
        <v>58</v>
      </c>
      <c r="E1234" s="10">
        <v>44099</v>
      </c>
      <c r="F1234" t="s">
        <v>23</v>
      </c>
      <c r="G1234" s="3" t="s">
        <v>54</v>
      </c>
      <c r="H1234" t="s">
        <v>31</v>
      </c>
      <c r="Q1234">
        <v>1</v>
      </c>
      <c r="T1234" s="13">
        <f t="shared" si="21"/>
        <v>1</v>
      </c>
      <c r="U1234" t="s">
        <v>26</v>
      </c>
    </row>
    <row r="1235" spans="1:22" x14ac:dyDescent="0.3">
      <c r="A1235">
        <v>19</v>
      </c>
      <c r="B1235">
        <v>2</v>
      </c>
      <c r="C1235">
        <v>207725</v>
      </c>
      <c r="D1235" t="s">
        <v>58</v>
      </c>
      <c r="E1235" s="10">
        <v>44099</v>
      </c>
      <c r="F1235" t="s">
        <v>23</v>
      </c>
      <c r="G1235" s="3" t="s">
        <v>54</v>
      </c>
      <c r="H1235" t="s">
        <v>46</v>
      </c>
      <c r="Q1235">
        <v>2</v>
      </c>
      <c r="R1235">
        <v>2</v>
      </c>
      <c r="T1235" s="13">
        <f t="shared" si="21"/>
        <v>4</v>
      </c>
      <c r="U1235" t="s">
        <v>26</v>
      </c>
    </row>
    <row r="1236" spans="1:22" x14ac:dyDescent="0.3">
      <c r="A1236">
        <v>19</v>
      </c>
      <c r="B1236">
        <v>2</v>
      </c>
      <c r="C1236">
        <v>207725</v>
      </c>
      <c r="D1236" t="s">
        <v>58</v>
      </c>
      <c r="E1236" s="10">
        <v>44099</v>
      </c>
      <c r="F1236" t="s">
        <v>23</v>
      </c>
      <c r="G1236" s="3" t="s">
        <v>54</v>
      </c>
      <c r="H1236" t="s">
        <v>45</v>
      </c>
      <c r="K1236">
        <v>4</v>
      </c>
      <c r="T1236" s="13">
        <f t="shared" si="21"/>
        <v>4</v>
      </c>
      <c r="U1236" t="s">
        <v>26</v>
      </c>
    </row>
    <row r="1237" spans="1:22" s="5" customFormat="1" ht="16.2" thickBot="1" x14ac:dyDescent="0.35">
      <c r="A1237" s="5">
        <v>19</v>
      </c>
      <c r="B1237" s="5">
        <v>2</v>
      </c>
      <c r="C1237" s="5">
        <v>207725</v>
      </c>
      <c r="D1237" s="5" t="s">
        <v>58</v>
      </c>
      <c r="E1237" s="11">
        <v>44099</v>
      </c>
      <c r="F1237" s="5" t="s">
        <v>23</v>
      </c>
      <c r="G1237" s="6" t="s">
        <v>52</v>
      </c>
      <c r="H1237" s="5" t="s">
        <v>141</v>
      </c>
      <c r="S1237" s="5">
        <v>1</v>
      </c>
      <c r="T1237" s="12">
        <f t="shared" si="21"/>
        <v>1</v>
      </c>
      <c r="U1237" s="5" t="s">
        <v>53</v>
      </c>
      <c r="V1237" s="14"/>
    </row>
    <row r="1238" spans="1:22" x14ac:dyDescent="0.3">
      <c r="A1238">
        <v>19</v>
      </c>
      <c r="B1238">
        <v>3</v>
      </c>
      <c r="C1238">
        <v>207726</v>
      </c>
      <c r="D1238" t="s">
        <v>58</v>
      </c>
      <c r="E1238" s="10">
        <v>44099</v>
      </c>
      <c r="F1238" t="s">
        <v>23</v>
      </c>
      <c r="G1238" s="3" t="s">
        <v>28</v>
      </c>
      <c r="H1238" t="s">
        <v>64</v>
      </c>
      <c r="S1238">
        <v>1</v>
      </c>
      <c r="T1238" s="13">
        <f t="shared" si="21"/>
        <v>1</v>
      </c>
      <c r="U1238" t="s">
        <v>26</v>
      </c>
    </row>
    <row r="1239" spans="1:22" x14ac:dyDescent="0.3">
      <c r="A1239">
        <v>19</v>
      </c>
      <c r="B1239">
        <v>3</v>
      </c>
      <c r="C1239">
        <v>207726</v>
      </c>
      <c r="D1239" t="s">
        <v>58</v>
      </c>
      <c r="E1239" s="10">
        <v>44099</v>
      </c>
      <c r="F1239" t="s">
        <v>23</v>
      </c>
      <c r="G1239" s="3" t="s">
        <v>28</v>
      </c>
      <c r="H1239" t="s">
        <v>33</v>
      </c>
      <c r="P1239">
        <v>1</v>
      </c>
      <c r="T1239" s="13">
        <f t="shared" si="21"/>
        <v>1</v>
      </c>
      <c r="U1239" t="s">
        <v>26</v>
      </c>
    </row>
    <row r="1240" spans="1:22" x14ac:dyDescent="0.3">
      <c r="A1240">
        <v>19</v>
      </c>
      <c r="B1240">
        <v>3</v>
      </c>
      <c r="C1240">
        <v>207726</v>
      </c>
      <c r="D1240" t="s">
        <v>58</v>
      </c>
      <c r="E1240" s="10">
        <v>44099</v>
      </c>
      <c r="F1240" t="s">
        <v>23</v>
      </c>
      <c r="G1240" s="3" t="s">
        <v>28</v>
      </c>
      <c r="H1240" t="s">
        <v>34</v>
      </c>
      <c r="P1240">
        <v>6</v>
      </c>
      <c r="Q1240">
        <v>19</v>
      </c>
      <c r="R1240">
        <v>29</v>
      </c>
      <c r="T1240" s="13">
        <f t="shared" si="21"/>
        <v>54</v>
      </c>
      <c r="U1240" t="s">
        <v>26</v>
      </c>
    </row>
    <row r="1241" spans="1:22" x14ac:dyDescent="0.3">
      <c r="A1241">
        <v>19</v>
      </c>
      <c r="B1241">
        <v>3</v>
      </c>
      <c r="C1241">
        <v>207726</v>
      </c>
      <c r="D1241" t="s">
        <v>58</v>
      </c>
      <c r="E1241" s="10">
        <v>44099</v>
      </c>
      <c r="F1241" t="s">
        <v>23</v>
      </c>
      <c r="G1241" s="3" t="s">
        <v>28</v>
      </c>
      <c r="H1241" t="s">
        <v>38</v>
      </c>
      <c r="O1241">
        <v>6</v>
      </c>
      <c r="P1241">
        <v>2</v>
      </c>
      <c r="Q1241">
        <v>3</v>
      </c>
      <c r="R1241">
        <v>6</v>
      </c>
      <c r="T1241" s="13">
        <f t="shared" si="21"/>
        <v>17</v>
      </c>
      <c r="U1241" t="s">
        <v>26</v>
      </c>
    </row>
    <row r="1242" spans="1:22" x14ac:dyDescent="0.3">
      <c r="A1242">
        <v>19</v>
      </c>
      <c r="B1242">
        <v>3</v>
      </c>
      <c r="C1242">
        <v>207726</v>
      </c>
      <c r="D1242" t="s">
        <v>58</v>
      </c>
      <c r="E1242" s="10">
        <v>44099</v>
      </c>
      <c r="F1242" t="s">
        <v>23</v>
      </c>
      <c r="G1242" s="3" t="s">
        <v>28</v>
      </c>
      <c r="H1242" t="s">
        <v>27</v>
      </c>
      <c r="P1242">
        <v>2</v>
      </c>
      <c r="T1242" s="13">
        <f t="shared" si="21"/>
        <v>2</v>
      </c>
      <c r="U1242" t="s">
        <v>26</v>
      </c>
    </row>
    <row r="1243" spans="1:22" x14ac:dyDescent="0.3">
      <c r="A1243">
        <v>19</v>
      </c>
      <c r="B1243">
        <v>3</v>
      </c>
      <c r="C1243">
        <v>207726</v>
      </c>
      <c r="D1243" t="s">
        <v>58</v>
      </c>
      <c r="E1243" s="10">
        <v>44099</v>
      </c>
      <c r="F1243" t="s">
        <v>23</v>
      </c>
      <c r="G1243" s="3" t="s">
        <v>28</v>
      </c>
      <c r="H1243" t="s">
        <v>25</v>
      </c>
      <c r="O1243">
        <v>21</v>
      </c>
      <c r="P1243">
        <v>111</v>
      </c>
      <c r="Q1243">
        <v>5</v>
      </c>
      <c r="T1243" s="13">
        <f t="shared" si="21"/>
        <v>137</v>
      </c>
      <c r="U1243" t="s">
        <v>26</v>
      </c>
    </row>
    <row r="1244" spans="1:22" x14ac:dyDescent="0.3">
      <c r="A1244">
        <v>19</v>
      </c>
      <c r="B1244">
        <v>3</v>
      </c>
      <c r="C1244">
        <v>207726</v>
      </c>
      <c r="D1244" t="s">
        <v>58</v>
      </c>
      <c r="E1244" s="10">
        <v>44099</v>
      </c>
      <c r="F1244" t="s">
        <v>23</v>
      </c>
      <c r="G1244" s="3" t="s">
        <v>28</v>
      </c>
      <c r="H1244" t="s">
        <v>46</v>
      </c>
      <c r="Q1244">
        <v>3</v>
      </c>
      <c r="T1244" s="13">
        <f t="shared" si="21"/>
        <v>3</v>
      </c>
      <c r="U1244" t="s">
        <v>26</v>
      </c>
    </row>
    <row r="1245" spans="1:22" x14ac:dyDescent="0.3">
      <c r="A1245">
        <v>19</v>
      </c>
      <c r="B1245">
        <v>3</v>
      </c>
      <c r="C1245">
        <v>207726</v>
      </c>
      <c r="D1245" t="s">
        <v>58</v>
      </c>
      <c r="E1245" s="10">
        <v>44099</v>
      </c>
      <c r="F1245" t="s">
        <v>23</v>
      </c>
      <c r="G1245" s="3" t="s">
        <v>28</v>
      </c>
      <c r="H1245" t="s">
        <v>30</v>
      </c>
      <c r="I1245">
        <v>10</v>
      </c>
      <c r="J1245">
        <v>32</v>
      </c>
      <c r="T1245" s="13">
        <f t="shared" si="21"/>
        <v>42</v>
      </c>
      <c r="U1245" t="s">
        <v>26</v>
      </c>
    </row>
    <row r="1246" spans="1:22" x14ac:dyDescent="0.3">
      <c r="A1246">
        <v>19</v>
      </c>
      <c r="B1246">
        <v>3</v>
      </c>
      <c r="C1246">
        <v>207726</v>
      </c>
      <c r="D1246" t="s">
        <v>58</v>
      </c>
      <c r="E1246" s="10">
        <v>44099</v>
      </c>
      <c r="F1246" t="s">
        <v>23</v>
      </c>
      <c r="G1246" s="3" t="s">
        <v>28</v>
      </c>
      <c r="H1246" t="s">
        <v>37</v>
      </c>
      <c r="P1246">
        <v>1</v>
      </c>
      <c r="Q1246">
        <v>11</v>
      </c>
      <c r="T1246" s="13">
        <f t="shared" si="21"/>
        <v>12</v>
      </c>
      <c r="U1246" t="s">
        <v>26</v>
      </c>
    </row>
    <row r="1247" spans="1:22" x14ac:dyDescent="0.3">
      <c r="A1247">
        <v>19</v>
      </c>
      <c r="B1247">
        <v>3</v>
      </c>
      <c r="C1247">
        <v>207726</v>
      </c>
      <c r="D1247" t="s">
        <v>58</v>
      </c>
      <c r="E1247" s="10">
        <v>44099</v>
      </c>
      <c r="F1247" t="s">
        <v>23</v>
      </c>
      <c r="G1247" s="3" t="s">
        <v>28</v>
      </c>
      <c r="H1247" t="s">
        <v>31</v>
      </c>
      <c r="P1247">
        <v>1</v>
      </c>
      <c r="Q1247">
        <v>2</v>
      </c>
      <c r="T1247" s="13">
        <f t="shared" si="21"/>
        <v>3</v>
      </c>
      <c r="U1247" t="s">
        <v>26</v>
      </c>
    </row>
    <row r="1248" spans="1:22" x14ac:dyDescent="0.3">
      <c r="A1248">
        <v>19</v>
      </c>
      <c r="B1248">
        <v>3</v>
      </c>
      <c r="C1248">
        <v>207726</v>
      </c>
      <c r="D1248" t="s">
        <v>58</v>
      </c>
      <c r="E1248" s="10">
        <v>44099</v>
      </c>
      <c r="F1248" t="s">
        <v>23</v>
      </c>
      <c r="G1248" s="3" t="s">
        <v>28</v>
      </c>
      <c r="H1248" t="s">
        <v>45</v>
      </c>
      <c r="I1248">
        <v>1</v>
      </c>
      <c r="K1248">
        <v>9</v>
      </c>
      <c r="T1248" s="13">
        <f t="shared" si="21"/>
        <v>10</v>
      </c>
      <c r="U1248" t="s">
        <v>26</v>
      </c>
    </row>
    <row r="1249" spans="1:22" x14ac:dyDescent="0.3">
      <c r="A1249">
        <v>19</v>
      </c>
      <c r="B1249">
        <v>3</v>
      </c>
      <c r="C1249">
        <v>207726</v>
      </c>
      <c r="D1249" t="s">
        <v>58</v>
      </c>
      <c r="E1249" s="10">
        <v>44099</v>
      </c>
      <c r="F1249" t="s">
        <v>23</v>
      </c>
      <c r="G1249" s="3" t="s">
        <v>28</v>
      </c>
      <c r="H1249" t="s">
        <v>43</v>
      </c>
      <c r="K1249">
        <v>5</v>
      </c>
      <c r="Q1249">
        <v>21</v>
      </c>
      <c r="R1249">
        <v>6</v>
      </c>
      <c r="T1249" s="13">
        <f t="shared" si="21"/>
        <v>32</v>
      </c>
      <c r="U1249" t="s">
        <v>26</v>
      </c>
    </row>
    <row r="1250" spans="1:22" x14ac:dyDescent="0.3">
      <c r="A1250">
        <v>19</v>
      </c>
      <c r="B1250">
        <v>3</v>
      </c>
      <c r="C1250">
        <v>207726</v>
      </c>
      <c r="D1250" t="s">
        <v>58</v>
      </c>
      <c r="E1250" s="10">
        <v>44099</v>
      </c>
      <c r="F1250" t="s">
        <v>23</v>
      </c>
      <c r="G1250" s="3" t="s">
        <v>28</v>
      </c>
      <c r="H1250" t="s">
        <v>65</v>
      </c>
      <c r="S1250">
        <v>1</v>
      </c>
      <c r="T1250" s="13">
        <f t="shared" si="21"/>
        <v>1</v>
      </c>
      <c r="U1250" t="s">
        <v>26</v>
      </c>
    </row>
    <row r="1251" spans="1:22" s="5" customFormat="1" ht="16.2" thickBot="1" x14ac:dyDescent="0.35">
      <c r="A1251" s="5">
        <v>19</v>
      </c>
      <c r="B1251" s="5">
        <v>3</v>
      </c>
      <c r="C1251" s="5">
        <v>207726</v>
      </c>
      <c r="D1251" s="5" t="s">
        <v>58</v>
      </c>
      <c r="E1251" s="11">
        <v>44099</v>
      </c>
      <c r="F1251" s="5" t="s">
        <v>23</v>
      </c>
      <c r="G1251" s="6" t="s">
        <v>28</v>
      </c>
      <c r="H1251" s="5" t="s">
        <v>265</v>
      </c>
      <c r="S1251" s="5">
        <v>1</v>
      </c>
      <c r="T1251" s="12">
        <f t="shared" si="21"/>
        <v>1</v>
      </c>
      <c r="U1251" s="5" t="s">
        <v>53</v>
      </c>
      <c r="V1251" s="14"/>
    </row>
    <row r="1252" spans="1:22" x14ac:dyDescent="0.3">
      <c r="A1252">
        <v>19</v>
      </c>
      <c r="B1252">
        <v>4</v>
      </c>
      <c r="C1252">
        <v>207727</v>
      </c>
      <c r="D1252" t="s">
        <v>58</v>
      </c>
      <c r="E1252" s="10">
        <v>44099</v>
      </c>
      <c r="F1252" t="s">
        <v>23</v>
      </c>
      <c r="G1252" s="3" t="s">
        <v>97</v>
      </c>
      <c r="H1252" t="s">
        <v>25</v>
      </c>
      <c r="L1252">
        <v>2</v>
      </c>
      <c r="N1252">
        <v>1</v>
      </c>
      <c r="O1252">
        <v>23</v>
      </c>
      <c r="P1252">
        <v>51</v>
      </c>
      <c r="Q1252">
        <v>1</v>
      </c>
      <c r="R1252">
        <v>1</v>
      </c>
      <c r="T1252" s="13">
        <f t="shared" si="21"/>
        <v>79</v>
      </c>
      <c r="U1252" t="s">
        <v>26</v>
      </c>
    </row>
    <row r="1253" spans="1:22" x14ac:dyDescent="0.3">
      <c r="A1253">
        <v>19</v>
      </c>
      <c r="B1253">
        <v>4</v>
      </c>
      <c r="C1253">
        <v>207727</v>
      </c>
      <c r="D1253" t="s">
        <v>58</v>
      </c>
      <c r="E1253" s="10">
        <v>44099</v>
      </c>
      <c r="F1253" t="s">
        <v>23</v>
      </c>
      <c r="G1253" s="3" t="s">
        <v>97</v>
      </c>
      <c r="H1253" t="s">
        <v>69</v>
      </c>
      <c r="I1253">
        <v>1</v>
      </c>
      <c r="T1253" s="13">
        <f t="shared" si="21"/>
        <v>1</v>
      </c>
      <c r="U1253" t="s">
        <v>26</v>
      </c>
    </row>
    <row r="1254" spans="1:22" x14ac:dyDescent="0.3">
      <c r="A1254">
        <v>19</v>
      </c>
      <c r="B1254">
        <v>4</v>
      </c>
      <c r="C1254">
        <v>207727</v>
      </c>
      <c r="D1254" t="s">
        <v>58</v>
      </c>
      <c r="E1254" s="10">
        <v>44099</v>
      </c>
      <c r="F1254" t="s">
        <v>23</v>
      </c>
      <c r="G1254" s="3" t="s">
        <v>28</v>
      </c>
      <c r="H1254" t="s">
        <v>51</v>
      </c>
      <c r="S1254">
        <v>2</v>
      </c>
      <c r="T1254" s="13">
        <f t="shared" si="21"/>
        <v>2</v>
      </c>
      <c r="U1254" t="s">
        <v>26</v>
      </c>
    </row>
    <row r="1255" spans="1:22" x14ac:dyDescent="0.3">
      <c r="A1255">
        <v>19</v>
      </c>
      <c r="B1255">
        <v>4</v>
      </c>
      <c r="C1255">
        <v>207727</v>
      </c>
      <c r="D1255" t="s">
        <v>58</v>
      </c>
      <c r="E1255" s="10">
        <v>44099</v>
      </c>
      <c r="F1255" t="s">
        <v>23</v>
      </c>
      <c r="G1255" s="3" t="s">
        <v>28</v>
      </c>
      <c r="H1255" t="s">
        <v>42</v>
      </c>
      <c r="S1255">
        <v>1</v>
      </c>
      <c r="T1255" s="13">
        <f t="shared" si="21"/>
        <v>1</v>
      </c>
      <c r="U1255" t="s">
        <v>26</v>
      </c>
    </row>
    <row r="1256" spans="1:22" x14ac:dyDescent="0.3">
      <c r="A1256">
        <v>19</v>
      </c>
      <c r="B1256">
        <v>4</v>
      </c>
      <c r="C1256">
        <v>207727</v>
      </c>
      <c r="D1256" t="s">
        <v>58</v>
      </c>
      <c r="E1256" s="10">
        <v>44099</v>
      </c>
      <c r="F1256" t="s">
        <v>23</v>
      </c>
      <c r="G1256" s="3" t="s">
        <v>28</v>
      </c>
      <c r="H1256" t="s">
        <v>41</v>
      </c>
      <c r="S1256">
        <v>11</v>
      </c>
      <c r="T1256" s="13">
        <f t="shared" si="21"/>
        <v>11</v>
      </c>
      <c r="U1256" t="s">
        <v>26</v>
      </c>
    </row>
    <row r="1257" spans="1:22" x14ac:dyDescent="0.3">
      <c r="A1257">
        <v>19</v>
      </c>
      <c r="B1257">
        <v>4</v>
      </c>
      <c r="C1257">
        <v>207727</v>
      </c>
      <c r="D1257" t="s">
        <v>58</v>
      </c>
      <c r="E1257" s="10">
        <v>44099</v>
      </c>
      <c r="F1257" t="s">
        <v>23</v>
      </c>
      <c r="G1257" s="3" t="s">
        <v>28</v>
      </c>
      <c r="H1257" t="s">
        <v>98</v>
      </c>
      <c r="Q1257">
        <v>1</v>
      </c>
      <c r="T1257" s="13">
        <f t="shared" si="21"/>
        <v>1</v>
      </c>
      <c r="U1257" t="s">
        <v>26</v>
      </c>
    </row>
    <row r="1258" spans="1:22" x14ac:dyDescent="0.3">
      <c r="A1258">
        <v>19</v>
      </c>
      <c r="B1258">
        <v>4</v>
      </c>
      <c r="C1258">
        <v>207727</v>
      </c>
      <c r="D1258" t="s">
        <v>58</v>
      </c>
      <c r="E1258" s="10">
        <v>44099</v>
      </c>
      <c r="F1258" t="s">
        <v>23</v>
      </c>
      <c r="G1258" s="3" t="s">
        <v>28</v>
      </c>
      <c r="H1258" t="s">
        <v>74</v>
      </c>
      <c r="Q1258">
        <v>3</v>
      </c>
      <c r="T1258" s="13">
        <f t="shared" si="21"/>
        <v>3</v>
      </c>
      <c r="U1258" t="s">
        <v>26</v>
      </c>
    </row>
    <row r="1259" spans="1:22" x14ac:dyDescent="0.3">
      <c r="A1259">
        <v>19</v>
      </c>
      <c r="B1259">
        <v>4</v>
      </c>
      <c r="C1259">
        <v>207727</v>
      </c>
      <c r="D1259" t="s">
        <v>58</v>
      </c>
      <c r="E1259" s="10">
        <v>44099</v>
      </c>
      <c r="F1259" t="s">
        <v>23</v>
      </c>
      <c r="G1259" s="3" t="s">
        <v>28</v>
      </c>
      <c r="H1259" t="s">
        <v>46</v>
      </c>
      <c r="Q1259">
        <v>22</v>
      </c>
      <c r="T1259" s="13">
        <f t="shared" si="21"/>
        <v>22</v>
      </c>
      <c r="U1259" t="s">
        <v>26</v>
      </c>
    </row>
    <row r="1260" spans="1:22" x14ac:dyDescent="0.3">
      <c r="A1260">
        <v>19</v>
      </c>
      <c r="B1260">
        <v>4</v>
      </c>
      <c r="C1260">
        <v>207727</v>
      </c>
      <c r="D1260" t="s">
        <v>58</v>
      </c>
      <c r="E1260" s="10">
        <v>44099</v>
      </c>
      <c r="F1260" t="s">
        <v>23</v>
      </c>
      <c r="G1260" s="3" t="s">
        <v>28</v>
      </c>
      <c r="H1260" t="s">
        <v>30</v>
      </c>
      <c r="I1260">
        <v>3</v>
      </c>
      <c r="J1260">
        <v>35</v>
      </c>
      <c r="T1260" s="13">
        <f t="shared" si="21"/>
        <v>38</v>
      </c>
      <c r="U1260" t="s">
        <v>26</v>
      </c>
    </row>
    <row r="1261" spans="1:22" x14ac:dyDescent="0.3">
      <c r="A1261">
        <v>19</v>
      </c>
      <c r="B1261">
        <v>4</v>
      </c>
      <c r="C1261">
        <v>207727</v>
      </c>
      <c r="D1261" t="s">
        <v>58</v>
      </c>
      <c r="E1261" s="10">
        <v>44099</v>
      </c>
      <c r="F1261" t="s">
        <v>23</v>
      </c>
      <c r="G1261" s="3" t="s">
        <v>28</v>
      </c>
      <c r="H1261" t="s">
        <v>37</v>
      </c>
      <c r="O1261">
        <v>2</v>
      </c>
      <c r="P1261">
        <v>2</v>
      </c>
      <c r="Q1261">
        <v>22</v>
      </c>
      <c r="R1261">
        <v>3</v>
      </c>
      <c r="T1261" s="13">
        <f t="shared" si="21"/>
        <v>29</v>
      </c>
      <c r="U1261" t="s">
        <v>26</v>
      </c>
    </row>
    <row r="1262" spans="1:22" x14ac:dyDescent="0.3">
      <c r="A1262">
        <v>19</v>
      </c>
      <c r="B1262">
        <v>4</v>
      </c>
      <c r="C1262">
        <v>207727</v>
      </c>
      <c r="D1262" t="s">
        <v>58</v>
      </c>
      <c r="E1262" s="10">
        <v>44099</v>
      </c>
      <c r="F1262" t="s">
        <v>23</v>
      </c>
      <c r="G1262" s="3" t="s">
        <v>28</v>
      </c>
      <c r="H1262" t="s">
        <v>38</v>
      </c>
      <c r="O1262">
        <v>26</v>
      </c>
      <c r="P1262">
        <v>10</v>
      </c>
      <c r="Q1262">
        <v>16</v>
      </c>
      <c r="R1262">
        <v>6</v>
      </c>
      <c r="T1262" s="13">
        <f t="shared" si="21"/>
        <v>58</v>
      </c>
      <c r="U1262" t="s">
        <v>26</v>
      </c>
    </row>
    <row r="1263" spans="1:22" x14ac:dyDescent="0.3">
      <c r="A1263">
        <v>19</v>
      </c>
      <c r="B1263">
        <v>4</v>
      </c>
      <c r="C1263">
        <v>207727</v>
      </c>
      <c r="D1263" t="s">
        <v>58</v>
      </c>
      <c r="E1263" s="10">
        <v>44099</v>
      </c>
      <c r="F1263" t="s">
        <v>23</v>
      </c>
      <c r="G1263" s="3" t="s">
        <v>28</v>
      </c>
      <c r="H1263" t="s">
        <v>34</v>
      </c>
      <c r="P1263">
        <v>1</v>
      </c>
      <c r="R1263">
        <v>3</v>
      </c>
      <c r="T1263" s="13">
        <f t="shared" si="21"/>
        <v>4</v>
      </c>
      <c r="U1263" t="s">
        <v>26</v>
      </c>
    </row>
    <row r="1264" spans="1:22" x14ac:dyDescent="0.3">
      <c r="A1264">
        <v>19</v>
      </c>
      <c r="B1264">
        <v>4</v>
      </c>
      <c r="C1264">
        <v>207727</v>
      </c>
      <c r="D1264" t="s">
        <v>58</v>
      </c>
      <c r="E1264" s="10">
        <v>44099</v>
      </c>
      <c r="F1264" t="s">
        <v>23</v>
      </c>
      <c r="G1264" s="3" t="s">
        <v>28</v>
      </c>
      <c r="H1264" t="s">
        <v>31</v>
      </c>
      <c r="O1264">
        <v>1</v>
      </c>
      <c r="Q1264">
        <v>2</v>
      </c>
      <c r="T1264" s="13">
        <f t="shared" si="21"/>
        <v>3</v>
      </c>
      <c r="U1264" t="s">
        <v>26</v>
      </c>
    </row>
    <row r="1265" spans="1:22" x14ac:dyDescent="0.3">
      <c r="A1265">
        <v>19</v>
      </c>
      <c r="B1265">
        <v>4</v>
      </c>
      <c r="C1265">
        <v>207727</v>
      </c>
      <c r="D1265" t="s">
        <v>58</v>
      </c>
      <c r="E1265" s="10">
        <v>44099</v>
      </c>
      <c r="F1265" t="s">
        <v>23</v>
      </c>
      <c r="G1265" s="3" t="s">
        <v>28</v>
      </c>
      <c r="H1265" t="s">
        <v>43</v>
      </c>
      <c r="K1265">
        <v>5</v>
      </c>
      <c r="Q1265">
        <v>16</v>
      </c>
      <c r="R1265">
        <v>4</v>
      </c>
      <c r="T1265" s="13">
        <f t="shared" si="21"/>
        <v>25</v>
      </c>
      <c r="U1265" t="s">
        <v>26</v>
      </c>
    </row>
    <row r="1266" spans="1:22" s="5" customFormat="1" ht="16.2" thickBot="1" x14ac:dyDescent="0.35">
      <c r="A1266" s="5">
        <v>19</v>
      </c>
      <c r="B1266" s="5">
        <v>4</v>
      </c>
      <c r="C1266" s="5">
        <v>207727</v>
      </c>
      <c r="D1266" s="5" t="s">
        <v>58</v>
      </c>
      <c r="E1266" s="11">
        <v>44099</v>
      </c>
      <c r="F1266" s="5" t="s">
        <v>23</v>
      </c>
      <c r="G1266" s="6" t="s">
        <v>28</v>
      </c>
      <c r="H1266" s="5" t="s">
        <v>62</v>
      </c>
      <c r="O1266" s="5">
        <v>4</v>
      </c>
      <c r="P1266" s="5">
        <v>1</v>
      </c>
      <c r="T1266" s="12">
        <f t="shared" si="21"/>
        <v>5</v>
      </c>
      <c r="U1266" s="5" t="s">
        <v>26</v>
      </c>
      <c r="V1266" s="14"/>
    </row>
    <row r="1267" spans="1:22" x14ac:dyDescent="0.3">
      <c r="A1267">
        <v>19</v>
      </c>
      <c r="B1267">
        <v>5</v>
      </c>
      <c r="C1267">
        <v>207728</v>
      </c>
      <c r="D1267" t="s">
        <v>58</v>
      </c>
      <c r="E1267" s="10">
        <v>44099</v>
      </c>
      <c r="F1267" t="s">
        <v>23</v>
      </c>
      <c r="G1267" s="3" t="s">
        <v>99</v>
      </c>
      <c r="H1267" t="s">
        <v>100</v>
      </c>
      <c r="S1267">
        <v>1</v>
      </c>
      <c r="T1267" s="13">
        <f t="shared" si="21"/>
        <v>1</v>
      </c>
      <c r="U1267" t="s">
        <v>26</v>
      </c>
    </row>
    <row r="1268" spans="1:22" x14ac:dyDescent="0.3">
      <c r="A1268">
        <v>19</v>
      </c>
      <c r="B1268">
        <v>5</v>
      </c>
      <c r="C1268">
        <v>207728</v>
      </c>
      <c r="D1268" t="s">
        <v>58</v>
      </c>
      <c r="E1268" s="10">
        <v>44099</v>
      </c>
      <c r="F1268" t="s">
        <v>23</v>
      </c>
      <c r="G1268" s="3" t="s">
        <v>99</v>
      </c>
      <c r="H1268" t="s">
        <v>41</v>
      </c>
      <c r="S1268">
        <v>1</v>
      </c>
      <c r="T1268" s="13">
        <f t="shared" si="21"/>
        <v>1</v>
      </c>
      <c r="U1268" t="s">
        <v>26</v>
      </c>
    </row>
    <row r="1269" spans="1:22" x14ac:dyDescent="0.3">
      <c r="A1269">
        <v>19</v>
      </c>
      <c r="B1269">
        <v>5</v>
      </c>
      <c r="C1269">
        <v>207728</v>
      </c>
      <c r="D1269" t="s">
        <v>58</v>
      </c>
      <c r="E1269" s="10">
        <v>44099</v>
      </c>
      <c r="F1269" t="s">
        <v>23</v>
      </c>
      <c r="G1269" s="3" t="s">
        <v>99</v>
      </c>
      <c r="H1269" t="s">
        <v>49</v>
      </c>
      <c r="S1269">
        <v>1</v>
      </c>
      <c r="T1269" s="13">
        <f t="shared" ref="T1269:T1332" si="22">SUM(I1269:S1269)</f>
        <v>1</v>
      </c>
      <c r="U1269" t="s">
        <v>26</v>
      </c>
    </row>
    <row r="1270" spans="1:22" x14ac:dyDescent="0.3">
      <c r="A1270">
        <v>19</v>
      </c>
      <c r="B1270">
        <v>5</v>
      </c>
      <c r="C1270">
        <v>207728</v>
      </c>
      <c r="D1270" t="s">
        <v>58</v>
      </c>
      <c r="E1270" s="10">
        <v>44099</v>
      </c>
      <c r="F1270" t="s">
        <v>23</v>
      </c>
      <c r="G1270" s="3" t="s">
        <v>99</v>
      </c>
      <c r="H1270" t="s">
        <v>33</v>
      </c>
      <c r="R1270">
        <v>1</v>
      </c>
      <c r="T1270" s="13">
        <f t="shared" si="22"/>
        <v>1</v>
      </c>
      <c r="U1270" t="s">
        <v>26</v>
      </c>
    </row>
    <row r="1271" spans="1:22" x14ac:dyDescent="0.3">
      <c r="A1271">
        <v>19</v>
      </c>
      <c r="B1271">
        <v>5</v>
      </c>
      <c r="C1271">
        <v>207728</v>
      </c>
      <c r="D1271" t="s">
        <v>58</v>
      </c>
      <c r="E1271" s="10">
        <v>44099</v>
      </c>
      <c r="F1271" t="s">
        <v>23</v>
      </c>
      <c r="G1271" s="3" t="s">
        <v>99</v>
      </c>
      <c r="H1271" t="s">
        <v>66</v>
      </c>
      <c r="O1271">
        <v>1</v>
      </c>
      <c r="T1271" s="13">
        <f t="shared" si="22"/>
        <v>1</v>
      </c>
      <c r="U1271" t="s">
        <v>26</v>
      </c>
    </row>
    <row r="1272" spans="1:22" x14ac:dyDescent="0.3">
      <c r="A1272">
        <v>19</v>
      </c>
      <c r="B1272">
        <v>5</v>
      </c>
      <c r="C1272">
        <v>207728</v>
      </c>
      <c r="D1272" t="s">
        <v>58</v>
      </c>
      <c r="E1272" s="10">
        <v>44099</v>
      </c>
      <c r="F1272" t="s">
        <v>23</v>
      </c>
      <c r="G1272" s="3" t="s">
        <v>99</v>
      </c>
      <c r="H1272" t="s">
        <v>45</v>
      </c>
      <c r="S1272">
        <v>21</v>
      </c>
      <c r="T1272" s="13">
        <f t="shared" si="22"/>
        <v>21</v>
      </c>
      <c r="U1272" t="s">
        <v>26</v>
      </c>
    </row>
    <row r="1273" spans="1:22" x14ac:dyDescent="0.3">
      <c r="A1273">
        <v>19</v>
      </c>
      <c r="B1273">
        <v>5</v>
      </c>
      <c r="C1273">
        <v>207728</v>
      </c>
      <c r="D1273" t="s">
        <v>58</v>
      </c>
      <c r="E1273" s="10">
        <v>44099</v>
      </c>
      <c r="F1273" t="s">
        <v>23</v>
      </c>
      <c r="G1273" s="3" t="s">
        <v>99</v>
      </c>
      <c r="H1273" t="s">
        <v>46</v>
      </c>
      <c r="Q1273">
        <v>23</v>
      </c>
      <c r="R1273">
        <v>1</v>
      </c>
      <c r="T1273" s="13">
        <f t="shared" si="22"/>
        <v>24</v>
      </c>
      <c r="U1273" t="s">
        <v>26</v>
      </c>
    </row>
    <row r="1274" spans="1:22" x14ac:dyDescent="0.3">
      <c r="A1274">
        <v>19</v>
      </c>
      <c r="B1274">
        <v>5</v>
      </c>
      <c r="C1274">
        <v>207728</v>
      </c>
      <c r="D1274" t="s">
        <v>58</v>
      </c>
      <c r="E1274" s="10">
        <v>44099</v>
      </c>
      <c r="F1274" t="s">
        <v>23</v>
      </c>
      <c r="G1274" s="3" t="s">
        <v>99</v>
      </c>
      <c r="H1274" t="s">
        <v>37</v>
      </c>
      <c r="O1274">
        <v>11</v>
      </c>
      <c r="P1274">
        <v>22</v>
      </c>
      <c r="Q1274">
        <v>14</v>
      </c>
      <c r="R1274">
        <v>3</v>
      </c>
      <c r="T1274" s="13">
        <f t="shared" si="22"/>
        <v>50</v>
      </c>
      <c r="U1274" t="s">
        <v>26</v>
      </c>
    </row>
    <row r="1275" spans="1:22" x14ac:dyDescent="0.3">
      <c r="A1275">
        <v>19</v>
      </c>
      <c r="B1275">
        <v>5</v>
      </c>
      <c r="C1275">
        <v>207728</v>
      </c>
      <c r="D1275" t="s">
        <v>58</v>
      </c>
      <c r="E1275" s="10">
        <v>44099</v>
      </c>
      <c r="F1275" t="s">
        <v>23</v>
      </c>
      <c r="G1275" s="3" t="s">
        <v>99</v>
      </c>
      <c r="H1275" t="s">
        <v>31</v>
      </c>
      <c r="O1275">
        <v>4</v>
      </c>
      <c r="P1275">
        <v>1</v>
      </c>
      <c r="Q1275">
        <v>2</v>
      </c>
      <c r="R1275">
        <v>1</v>
      </c>
      <c r="T1275" s="13">
        <f t="shared" si="22"/>
        <v>8</v>
      </c>
      <c r="U1275" t="s">
        <v>26</v>
      </c>
    </row>
    <row r="1276" spans="1:22" x14ac:dyDescent="0.3">
      <c r="A1276">
        <v>19</v>
      </c>
      <c r="B1276">
        <v>5</v>
      </c>
      <c r="C1276">
        <v>207728</v>
      </c>
      <c r="D1276" t="s">
        <v>58</v>
      </c>
      <c r="E1276" s="10">
        <v>44099</v>
      </c>
      <c r="F1276" t="s">
        <v>23</v>
      </c>
      <c r="G1276" s="3" t="s">
        <v>99</v>
      </c>
      <c r="H1276" t="s">
        <v>38</v>
      </c>
      <c r="O1276">
        <v>37</v>
      </c>
      <c r="P1276">
        <v>20</v>
      </c>
      <c r="Q1276">
        <v>6</v>
      </c>
      <c r="R1276">
        <v>8</v>
      </c>
      <c r="T1276" s="13">
        <f t="shared" si="22"/>
        <v>71</v>
      </c>
      <c r="U1276" t="s">
        <v>26</v>
      </c>
    </row>
    <row r="1277" spans="1:22" x14ac:dyDescent="0.3">
      <c r="A1277">
        <v>19</v>
      </c>
      <c r="B1277">
        <v>5</v>
      </c>
      <c r="C1277">
        <v>207728</v>
      </c>
      <c r="D1277" t="s">
        <v>58</v>
      </c>
      <c r="E1277" s="10">
        <v>44099</v>
      </c>
      <c r="F1277" t="s">
        <v>23</v>
      </c>
      <c r="G1277" s="3" t="s">
        <v>99</v>
      </c>
      <c r="H1277" t="s">
        <v>30</v>
      </c>
      <c r="I1277">
        <v>2</v>
      </c>
      <c r="J1277">
        <v>66</v>
      </c>
      <c r="T1277" s="13">
        <f t="shared" si="22"/>
        <v>68</v>
      </c>
      <c r="U1277" t="s">
        <v>26</v>
      </c>
    </row>
    <row r="1278" spans="1:22" x14ac:dyDescent="0.3">
      <c r="A1278">
        <v>19</v>
      </c>
      <c r="B1278">
        <v>5</v>
      </c>
      <c r="C1278">
        <v>207728</v>
      </c>
      <c r="D1278" t="s">
        <v>58</v>
      </c>
      <c r="E1278" s="10">
        <v>44099</v>
      </c>
      <c r="F1278" t="s">
        <v>23</v>
      </c>
      <c r="G1278" s="3" t="s">
        <v>75</v>
      </c>
      <c r="H1278" t="s">
        <v>25</v>
      </c>
      <c r="N1278">
        <v>4</v>
      </c>
      <c r="O1278">
        <v>36</v>
      </c>
      <c r="P1278">
        <v>37</v>
      </c>
      <c r="T1278" s="13">
        <f t="shared" si="22"/>
        <v>77</v>
      </c>
      <c r="U1278" t="s">
        <v>26</v>
      </c>
    </row>
    <row r="1279" spans="1:22" x14ac:dyDescent="0.3">
      <c r="A1279">
        <v>19</v>
      </c>
      <c r="B1279">
        <v>5</v>
      </c>
      <c r="C1279">
        <v>207728</v>
      </c>
      <c r="D1279" t="s">
        <v>58</v>
      </c>
      <c r="E1279" s="10">
        <v>44099</v>
      </c>
      <c r="F1279" t="s">
        <v>23</v>
      </c>
      <c r="G1279" s="3" t="s">
        <v>75</v>
      </c>
      <c r="H1279" t="s">
        <v>27</v>
      </c>
      <c r="O1279">
        <v>2</v>
      </c>
      <c r="T1279" s="13">
        <f t="shared" si="22"/>
        <v>2</v>
      </c>
      <c r="U1279" t="s">
        <v>26</v>
      </c>
    </row>
    <row r="1280" spans="1:22" s="5" customFormat="1" ht="16.2" thickBot="1" x14ac:dyDescent="0.35">
      <c r="A1280" s="5">
        <v>19</v>
      </c>
      <c r="B1280" s="5">
        <v>5</v>
      </c>
      <c r="C1280" s="5">
        <v>207728</v>
      </c>
      <c r="D1280" s="5" t="s">
        <v>58</v>
      </c>
      <c r="E1280" s="11">
        <v>44099</v>
      </c>
      <c r="F1280" s="5" t="s">
        <v>23</v>
      </c>
      <c r="G1280" s="6" t="s">
        <v>75</v>
      </c>
      <c r="H1280" s="5" t="s">
        <v>186</v>
      </c>
      <c r="O1280" s="5">
        <v>1</v>
      </c>
      <c r="T1280" s="12">
        <f t="shared" si="22"/>
        <v>1</v>
      </c>
      <c r="U1280" s="5" t="s">
        <v>26</v>
      </c>
      <c r="V1280" s="14"/>
    </row>
    <row r="1281" spans="1:22" x14ac:dyDescent="0.3">
      <c r="A1281">
        <v>20</v>
      </c>
      <c r="B1281">
        <v>1</v>
      </c>
      <c r="C1281">
        <v>207729</v>
      </c>
      <c r="D1281" t="s">
        <v>58</v>
      </c>
      <c r="E1281" s="10">
        <v>44099</v>
      </c>
      <c r="F1281" t="s">
        <v>23</v>
      </c>
      <c r="G1281" s="3" t="s">
        <v>52</v>
      </c>
      <c r="H1281" t="s">
        <v>238</v>
      </c>
      <c r="S1281">
        <v>2</v>
      </c>
      <c r="T1281" s="13">
        <f t="shared" si="22"/>
        <v>2</v>
      </c>
      <c r="U1281" t="s">
        <v>143</v>
      </c>
    </row>
    <row r="1282" spans="1:22" x14ac:dyDescent="0.3">
      <c r="A1282">
        <v>20</v>
      </c>
      <c r="B1282">
        <v>1</v>
      </c>
      <c r="C1282">
        <v>207729</v>
      </c>
      <c r="D1282" t="s">
        <v>58</v>
      </c>
      <c r="E1282" s="10">
        <v>44099</v>
      </c>
      <c r="F1282" t="s">
        <v>23</v>
      </c>
      <c r="G1282" s="3" t="s">
        <v>52</v>
      </c>
      <c r="H1282" t="s">
        <v>82</v>
      </c>
      <c r="S1282">
        <v>6</v>
      </c>
      <c r="T1282" s="13">
        <f t="shared" si="22"/>
        <v>6</v>
      </c>
      <c r="U1282" t="s">
        <v>143</v>
      </c>
    </row>
    <row r="1283" spans="1:22" ht="31.2" x14ac:dyDescent="0.3">
      <c r="A1283">
        <v>20</v>
      </c>
      <c r="B1283">
        <v>1</v>
      </c>
      <c r="C1283">
        <v>207729</v>
      </c>
      <c r="D1283" t="s">
        <v>58</v>
      </c>
      <c r="E1283" s="10">
        <v>44099</v>
      </c>
      <c r="F1283" t="s">
        <v>23</v>
      </c>
      <c r="G1283" s="3" t="s">
        <v>52</v>
      </c>
      <c r="H1283" t="s">
        <v>180</v>
      </c>
      <c r="S1283">
        <v>5</v>
      </c>
      <c r="T1283" s="13">
        <f t="shared" si="22"/>
        <v>5</v>
      </c>
      <c r="U1283" t="s">
        <v>143</v>
      </c>
      <c r="V1283" s="15" t="s">
        <v>239</v>
      </c>
    </row>
    <row r="1284" spans="1:22" x14ac:dyDescent="0.3">
      <c r="A1284">
        <v>20</v>
      </c>
      <c r="B1284">
        <v>1</v>
      </c>
      <c r="C1284">
        <v>207729</v>
      </c>
      <c r="D1284" t="s">
        <v>58</v>
      </c>
      <c r="E1284" s="10">
        <v>44099</v>
      </c>
      <c r="F1284" t="s">
        <v>23</v>
      </c>
      <c r="G1284" s="3" t="s">
        <v>52</v>
      </c>
      <c r="H1284" t="s">
        <v>192</v>
      </c>
      <c r="S1284">
        <v>2</v>
      </c>
      <c r="T1284" s="13">
        <f t="shared" si="22"/>
        <v>2</v>
      </c>
      <c r="U1284" t="s">
        <v>143</v>
      </c>
    </row>
    <row r="1285" spans="1:22" x14ac:dyDescent="0.3">
      <c r="A1285">
        <v>20</v>
      </c>
      <c r="B1285">
        <v>1</v>
      </c>
      <c r="C1285">
        <v>207729</v>
      </c>
      <c r="D1285" t="s">
        <v>58</v>
      </c>
      <c r="E1285" s="10">
        <v>44099</v>
      </c>
      <c r="F1285" t="s">
        <v>23</v>
      </c>
      <c r="G1285" s="3" t="s">
        <v>52</v>
      </c>
      <c r="H1285" t="s">
        <v>25</v>
      </c>
      <c r="S1285">
        <v>5</v>
      </c>
      <c r="T1285" s="13">
        <f t="shared" si="22"/>
        <v>5</v>
      </c>
      <c r="U1285" t="s">
        <v>144</v>
      </c>
    </row>
    <row r="1286" spans="1:22" ht="62.4" x14ac:dyDescent="0.3">
      <c r="A1286">
        <v>20</v>
      </c>
      <c r="B1286">
        <v>1</v>
      </c>
      <c r="C1286">
        <v>207729</v>
      </c>
      <c r="D1286" t="s">
        <v>58</v>
      </c>
      <c r="E1286" s="10">
        <v>44099</v>
      </c>
      <c r="F1286" t="s">
        <v>23</v>
      </c>
      <c r="G1286" s="3" t="s">
        <v>52</v>
      </c>
      <c r="H1286" t="s">
        <v>89</v>
      </c>
      <c r="S1286">
        <v>3</v>
      </c>
      <c r="T1286" s="13">
        <f t="shared" si="22"/>
        <v>3</v>
      </c>
      <c r="U1286" t="s">
        <v>143</v>
      </c>
      <c r="V1286" s="15" t="s">
        <v>241</v>
      </c>
    </row>
    <row r="1287" spans="1:22" x14ac:dyDescent="0.3">
      <c r="A1287">
        <v>20</v>
      </c>
      <c r="B1287">
        <v>1</v>
      </c>
      <c r="C1287">
        <v>207729</v>
      </c>
      <c r="D1287" t="s">
        <v>58</v>
      </c>
      <c r="E1287" s="10">
        <v>44099</v>
      </c>
      <c r="F1287" t="s">
        <v>23</v>
      </c>
      <c r="G1287" s="3" t="s">
        <v>52</v>
      </c>
      <c r="H1287" t="s">
        <v>34</v>
      </c>
      <c r="S1287">
        <v>1</v>
      </c>
      <c r="T1287" s="13">
        <f t="shared" si="22"/>
        <v>1</v>
      </c>
      <c r="U1287" t="s">
        <v>144</v>
      </c>
    </row>
    <row r="1288" spans="1:22" x14ac:dyDescent="0.3">
      <c r="A1288">
        <v>20</v>
      </c>
      <c r="B1288">
        <v>1</v>
      </c>
      <c r="C1288">
        <v>207729</v>
      </c>
      <c r="D1288" t="s">
        <v>58</v>
      </c>
      <c r="E1288" s="10">
        <v>44099</v>
      </c>
      <c r="F1288" t="s">
        <v>23</v>
      </c>
      <c r="G1288" s="3" t="s">
        <v>54</v>
      </c>
      <c r="H1288" t="s">
        <v>25</v>
      </c>
      <c r="O1288">
        <v>1</v>
      </c>
      <c r="P1288">
        <v>80</v>
      </c>
      <c r="Q1288">
        <v>1</v>
      </c>
      <c r="T1288" s="13">
        <f t="shared" si="22"/>
        <v>82</v>
      </c>
      <c r="U1288" t="s">
        <v>144</v>
      </c>
    </row>
    <row r="1289" spans="1:22" x14ac:dyDescent="0.3">
      <c r="A1289">
        <v>20</v>
      </c>
      <c r="B1289">
        <v>1</v>
      </c>
      <c r="C1289">
        <v>207729</v>
      </c>
      <c r="D1289" t="s">
        <v>58</v>
      </c>
      <c r="E1289" s="10">
        <v>44099</v>
      </c>
      <c r="F1289" t="s">
        <v>23</v>
      </c>
      <c r="G1289" s="3" t="s">
        <v>54</v>
      </c>
      <c r="H1289" t="s">
        <v>27</v>
      </c>
      <c r="P1289">
        <v>3</v>
      </c>
      <c r="T1289" s="13">
        <f t="shared" si="22"/>
        <v>3</v>
      </c>
      <c r="U1289" t="s">
        <v>144</v>
      </c>
    </row>
    <row r="1290" spans="1:22" x14ac:dyDescent="0.3">
      <c r="A1290">
        <v>20</v>
      </c>
      <c r="B1290">
        <v>1</v>
      </c>
      <c r="C1290">
        <v>207729</v>
      </c>
      <c r="D1290" t="s">
        <v>58</v>
      </c>
      <c r="E1290" s="10">
        <v>44099</v>
      </c>
      <c r="F1290" t="s">
        <v>23</v>
      </c>
      <c r="G1290" s="3" t="s">
        <v>54</v>
      </c>
      <c r="H1290" t="s">
        <v>186</v>
      </c>
      <c r="P1290">
        <v>1</v>
      </c>
      <c r="T1290" s="13">
        <f t="shared" si="22"/>
        <v>1</v>
      </c>
      <c r="U1290" t="s">
        <v>144</v>
      </c>
    </row>
    <row r="1291" spans="1:22" x14ac:dyDescent="0.3">
      <c r="A1291">
        <v>20</v>
      </c>
      <c r="B1291">
        <v>1</v>
      </c>
      <c r="C1291">
        <v>207729</v>
      </c>
      <c r="D1291" t="s">
        <v>58</v>
      </c>
      <c r="E1291" s="10">
        <v>44099</v>
      </c>
      <c r="F1291" t="s">
        <v>23</v>
      </c>
      <c r="G1291" s="3" t="s">
        <v>54</v>
      </c>
      <c r="H1291" t="s">
        <v>69</v>
      </c>
      <c r="I1291">
        <v>1</v>
      </c>
      <c r="T1291" s="13">
        <f t="shared" si="22"/>
        <v>1</v>
      </c>
      <c r="U1291" t="s">
        <v>144</v>
      </c>
    </row>
    <row r="1292" spans="1:22" x14ac:dyDescent="0.3">
      <c r="A1292">
        <v>20</v>
      </c>
      <c r="B1292">
        <v>1</v>
      </c>
      <c r="C1292">
        <v>207729</v>
      </c>
      <c r="D1292" t="s">
        <v>58</v>
      </c>
      <c r="E1292" s="10">
        <v>44099</v>
      </c>
      <c r="F1292" t="s">
        <v>23</v>
      </c>
      <c r="G1292" s="3" t="s">
        <v>54</v>
      </c>
      <c r="H1292" t="s">
        <v>192</v>
      </c>
      <c r="S1292">
        <v>176</v>
      </c>
      <c r="T1292" s="13">
        <f t="shared" si="22"/>
        <v>176</v>
      </c>
      <c r="U1292" t="s">
        <v>144</v>
      </c>
    </row>
    <row r="1293" spans="1:22" x14ac:dyDescent="0.3">
      <c r="A1293">
        <v>20</v>
      </c>
      <c r="B1293">
        <v>1</v>
      </c>
      <c r="C1293">
        <v>207729</v>
      </c>
      <c r="D1293" t="s">
        <v>58</v>
      </c>
      <c r="E1293" s="10">
        <v>44099</v>
      </c>
      <c r="F1293" t="s">
        <v>23</v>
      </c>
      <c r="G1293" s="3" t="s">
        <v>54</v>
      </c>
      <c r="H1293" t="s">
        <v>274</v>
      </c>
      <c r="S1293">
        <v>39</v>
      </c>
      <c r="T1293" s="13">
        <f t="shared" si="22"/>
        <v>39</v>
      </c>
      <c r="U1293" t="s">
        <v>144</v>
      </c>
    </row>
    <row r="1294" spans="1:22" x14ac:dyDescent="0.3">
      <c r="A1294">
        <v>20</v>
      </c>
      <c r="B1294">
        <v>1</v>
      </c>
      <c r="C1294">
        <v>207729</v>
      </c>
      <c r="D1294" t="s">
        <v>58</v>
      </c>
      <c r="E1294" s="10">
        <v>44099</v>
      </c>
      <c r="F1294" t="s">
        <v>23</v>
      </c>
      <c r="G1294" s="3" t="s">
        <v>54</v>
      </c>
      <c r="H1294" t="s">
        <v>67</v>
      </c>
      <c r="Q1294">
        <v>2</v>
      </c>
      <c r="T1294" s="13">
        <f t="shared" si="22"/>
        <v>2</v>
      </c>
      <c r="U1294" t="s">
        <v>144</v>
      </c>
    </row>
    <row r="1295" spans="1:22" x14ac:dyDescent="0.3">
      <c r="A1295">
        <v>20</v>
      </c>
      <c r="B1295">
        <v>1</v>
      </c>
      <c r="C1295">
        <v>207729</v>
      </c>
      <c r="D1295" t="s">
        <v>58</v>
      </c>
      <c r="E1295" s="10">
        <v>44099</v>
      </c>
      <c r="F1295" t="s">
        <v>23</v>
      </c>
      <c r="G1295" s="3" t="s">
        <v>54</v>
      </c>
      <c r="H1295" t="s">
        <v>34</v>
      </c>
      <c r="Q1295">
        <v>2</v>
      </c>
      <c r="R1295">
        <v>5</v>
      </c>
      <c r="T1295" s="13">
        <f t="shared" si="22"/>
        <v>7</v>
      </c>
      <c r="U1295" t="s">
        <v>144</v>
      </c>
    </row>
    <row r="1296" spans="1:22" x14ac:dyDescent="0.3">
      <c r="A1296">
        <v>20</v>
      </c>
      <c r="B1296">
        <v>1</v>
      </c>
      <c r="C1296">
        <v>207729</v>
      </c>
      <c r="D1296" t="s">
        <v>58</v>
      </c>
      <c r="E1296" s="10">
        <v>44099</v>
      </c>
      <c r="F1296" t="s">
        <v>23</v>
      </c>
      <c r="G1296" s="3" t="s">
        <v>54</v>
      </c>
      <c r="H1296" t="s">
        <v>46</v>
      </c>
      <c r="Q1296">
        <v>3</v>
      </c>
      <c r="T1296" s="13">
        <f t="shared" si="22"/>
        <v>3</v>
      </c>
      <c r="U1296" t="s">
        <v>144</v>
      </c>
    </row>
    <row r="1297" spans="1:22" x14ac:dyDescent="0.3">
      <c r="A1297">
        <v>20</v>
      </c>
      <c r="B1297">
        <v>1</v>
      </c>
      <c r="C1297">
        <v>207729</v>
      </c>
      <c r="D1297" t="s">
        <v>58</v>
      </c>
      <c r="E1297" s="10">
        <v>44099</v>
      </c>
      <c r="F1297" t="s">
        <v>23</v>
      </c>
      <c r="G1297" s="3" t="s">
        <v>54</v>
      </c>
      <c r="H1297" t="s">
        <v>45</v>
      </c>
      <c r="K1297">
        <v>4</v>
      </c>
      <c r="T1297" s="13">
        <f t="shared" si="22"/>
        <v>4</v>
      </c>
      <c r="U1297" t="s">
        <v>144</v>
      </c>
    </row>
    <row r="1298" spans="1:22" x14ac:dyDescent="0.3">
      <c r="A1298">
        <v>20</v>
      </c>
      <c r="B1298">
        <v>1</v>
      </c>
      <c r="C1298">
        <v>207729</v>
      </c>
      <c r="D1298" t="s">
        <v>58</v>
      </c>
      <c r="E1298" s="10">
        <v>44099</v>
      </c>
      <c r="F1298" t="s">
        <v>23</v>
      </c>
      <c r="G1298" s="3" t="s">
        <v>54</v>
      </c>
      <c r="H1298" t="s">
        <v>51</v>
      </c>
      <c r="S1298">
        <v>7</v>
      </c>
      <c r="T1298" s="13">
        <f t="shared" si="22"/>
        <v>7</v>
      </c>
      <c r="U1298" t="s">
        <v>144</v>
      </c>
    </row>
    <row r="1299" spans="1:22" x14ac:dyDescent="0.3">
      <c r="A1299">
        <v>20</v>
      </c>
      <c r="B1299">
        <v>1</v>
      </c>
      <c r="C1299">
        <v>207729</v>
      </c>
      <c r="D1299" t="s">
        <v>58</v>
      </c>
      <c r="E1299" s="10">
        <v>44099</v>
      </c>
      <c r="F1299" t="s">
        <v>23</v>
      </c>
      <c r="G1299" s="3" t="s">
        <v>54</v>
      </c>
      <c r="H1299" t="s">
        <v>79</v>
      </c>
      <c r="S1299">
        <v>4</v>
      </c>
      <c r="T1299" s="13">
        <f t="shared" si="22"/>
        <v>4</v>
      </c>
      <c r="U1299" t="s">
        <v>144</v>
      </c>
    </row>
    <row r="1300" spans="1:22" x14ac:dyDescent="0.3">
      <c r="A1300">
        <v>20</v>
      </c>
      <c r="B1300">
        <v>1</v>
      </c>
      <c r="C1300">
        <v>207729</v>
      </c>
      <c r="D1300" t="s">
        <v>58</v>
      </c>
      <c r="E1300" s="10">
        <v>44099</v>
      </c>
      <c r="F1300" t="s">
        <v>23</v>
      </c>
      <c r="G1300" s="3" t="s">
        <v>28</v>
      </c>
      <c r="H1300" t="s">
        <v>180</v>
      </c>
      <c r="S1300">
        <v>1</v>
      </c>
      <c r="T1300" s="13">
        <f t="shared" si="22"/>
        <v>1</v>
      </c>
      <c r="U1300" t="s">
        <v>144</v>
      </c>
      <c r="V1300" s="15" t="s">
        <v>275</v>
      </c>
    </row>
    <row r="1301" spans="1:22" x14ac:dyDescent="0.3">
      <c r="A1301">
        <v>20</v>
      </c>
      <c r="B1301">
        <v>1</v>
      </c>
      <c r="C1301">
        <v>207729</v>
      </c>
      <c r="D1301" t="s">
        <v>58</v>
      </c>
      <c r="E1301" s="10">
        <v>44099</v>
      </c>
      <c r="F1301" t="s">
        <v>23</v>
      </c>
      <c r="G1301" s="3" t="s">
        <v>68</v>
      </c>
      <c r="H1301" t="s">
        <v>180</v>
      </c>
      <c r="S1301">
        <v>6</v>
      </c>
      <c r="T1301" s="13">
        <f t="shared" si="22"/>
        <v>6</v>
      </c>
      <c r="U1301" t="s">
        <v>144</v>
      </c>
      <c r="V1301" s="15" t="s">
        <v>276</v>
      </c>
    </row>
    <row r="1302" spans="1:22" x14ac:dyDescent="0.3">
      <c r="A1302">
        <v>20</v>
      </c>
      <c r="B1302">
        <v>1</v>
      </c>
      <c r="C1302">
        <v>207729</v>
      </c>
      <c r="D1302" t="s">
        <v>58</v>
      </c>
      <c r="E1302" s="10">
        <v>44099</v>
      </c>
      <c r="F1302" t="s">
        <v>23</v>
      </c>
      <c r="G1302" s="3" t="s">
        <v>102</v>
      </c>
      <c r="H1302" t="s">
        <v>180</v>
      </c>
      <c r="S1302">
        <v>2</v>
      </c>
      <c r="T1302" s="13">
        <f t="shared" si="22"/>
        <v>2</v>
      </c>
      <c r="U1302" t="s">
        <v>144</v>
      </c>
      <c r="V1302" s="15" t="s">
        <v>276</v>
      </c>
    </row>
    <row r="1303" spans="1:22" x14ac:dyDescent="0.3">
      <c r="A1303">
        <v>20</v>
      </c>
      <c r="B1303">
        <v>1</v>
      </c>
      <c r="C1303">
        <v>207729</v>
      </c>
      <c r="D1303" t="s">
        <v>58</v>
      </c>
      <c r="E1303" s="10">
        <v>44099</v>
      </c>
      <c r="F1303" t="s">
        <v>23</v>
      </c>
      <c r="G1303" s="3" t="s">
        <v>102</v>
      </c>
      <c r="H1303" t="s">
        <v>180</v>
      </c>
      <c r="S1303">
        <v>6</v>
      </c>
      <c r="T1303" s="13">
        <f t="shared" si="22"/>
        <v>6</v>
      </c>
      <c r="U1303" t="s">
        <v>144</v>
      </c>
      <c r="V1303" s="15" t="s">
        <v>276</v>
      </c>
    </row>
    <row r="1304" spans="1:22" s="5" customFormat="1" ht="16.2" thickBot="1" x14ac:dyDescent="0.35">
      <c r="A1304" s="5">
        <v>20</v>
      </c>
      <c r="B1304" s="5">
        <v>1</v>
      </c>
      <c r="C1304" s="5">
        <v>207729</v>
      </c>
      <c r="D1304" s="5" t="s">
        <v>58</v>
      </c>
      <c r="E1304" s="11">
        <v>44099</v>
      </c>
      <c r="F1304" s="5" t="s">
        <v>23</v>
      </c>
      <c r="G1304" s="6" t="s">
        <v>102</v>
      </c>
      <c r="H1304" s="5" t="s">
        <v>180</v>
      </c>
      <c r="S1304" s="5">
        <v>2</v>
      </c>
      <c r="T1304" s="12">
        <f t="shared" si="22"/>
        <v>2</v>
      </c>
      <c r="U1304" s="5" t="s">
        <v>144</v>
      </c>
      <c r="V1304" s="14" t="s">
        <v>276</v>
      </c>
    </row>
    <row r="1305" spans="1:22" x14ac:dyDescent="0.3">
      <c r="A1305">
        <v>20</v>
      </c>
      <c r="B1305">
        <v>2</v>
      </c>
      <c r="C1305">
        <v>207730</v>
      </c>
      <c r="D1305" t="s">
        <v>58</v>
      </c>
      <c r="E1305" s="10">
        <v>44099</v>
      </c>
      <c r="F1305" t="s">
        <v>23</v>
      </c>
      <c r="G1305" s="3" t="s">
        <v>77</v>
      </c>
      <c r="H1305" t="s">
        <v>25</v>
      </c>
      <c r="N1305">
        <v>2</v>
      </c>
      <c r="O1305">
        <v>3</v>
      </c>
      <c r="P1305">
        <v>61</v>
      </c>
      <c r="Q1305">
        <v>2</v>
      </c>
      <c r="T1305" s="13">
        <f t="shared" si="22"/>
        <v>68</v>
      </c>
      <c r="U1305" t="s">
        <v>144</v>
      </c>
    </row>
    <row r="1306" spans="1:22" x14ac:dyDescent="0.3">
      <c r="A1306">
        <v>20</v>
      </c>
      <c r="B1306">
        <v>2</v>
      </c>
      <c r="C1306">
        <v>207730</v>
      </c>
      <c r="D1306" t="s">
        <v>58</v>
      </c>
      <c r="E1306" s="10">
        <v>44099</v>
      </c>
      <c r="F1306" t="s">
        <v>23</v>
      </c>
      <c r="G1306" s="3" t="s">
        <v>77</v>
      </c>
      <c r="H1306" t="s">
        <v>27</v>
      </c>
      <c r="P1306">
        <v>4</v>
      </c>
      <c r="T1306" s="13">
        <f t="shared" si="22"/>
        <v>4</v>
      </c>
      <c r="U1306" t="s">
        <v>144</v>
      </c>
    </row>
    <row r="1307" spans="1:22" x14ac:dyDescent="0.3">
      <c r="A1307">
        <v>20</v>
      </c>
      <c r="B1307">
        <v>2</v>
      </c>
      <c r="C1307">
        <v>207730</v>
      </c>
      <c r="D1307" t="s">
        <v>58</v>
      </c>
      <c r="E1307" s="10">
        <v>44099</v>
      </c>
      <c r="F1307" t="s">
        <v>23</v>
      </c>
      <c r="G1307" s="3" t="s">
        <v>77</v>
      </c>
      <c r="H1307" t="s">
        <v>69</v>
      </c>
      <c r="I1307">
        <v>2</v>
      </c>
      <c r="T1307" s="13">
        <f t="shared" si="22"/>
        <v>2</v>
      </c>
      <c r="U1307" t="s">
        <v>144</v>
      </c>
    </row>
    <row r="1308" spans="1:22" x14ac:dyDescent="0.3">
      <c r="A1308">
        <v>20</v>
      </c>
      <c r="B1308">
        <v>2</v>
      </c>
      <c r="C1308">
        <v>207730</v>
      </c>
      <c r="D1308" t="s">
        <v>58</v>
      </c>
      <c r="E1308" s="10">
        <v>44099</v>
      </c>
      <c r="F1308" t="s">
        <v>23</v>
      </c>
      <c r="G1308" s="3" t="s">
        <v>73</v>
      </c>
      <c r="H1308" t="s">
        <v>29</v>
      </c>
      <c r="S1308">
        <v>1</v>
      </c>
      <c r="T1308" s="13">
        <f t="shared" si="22"/>
        <v>1</v>
      </c>
      <c r="U1308" t="s">
        <v>144</v>
      </c>
    </row>
    <row r="1309" spans="1:22" x14ac:dyDescent="0.3">
      <c r="A1309">
        <v>20</v>
      </c>
      <c r="B1309">
        <v>2</v>
      </c>
      <c r="C1309">
        <v>207730</v>
      </c>
      <c r="D1309" t="s">
        <v>58</v>
      </c>
      <c r="E1309" s="10">
        <v>44099</v>
      </c>
      <c r="F1309" t="s">
        <v>23</v>
      </c>
      <c r="G1309" s="3" t="s">
        <v>73</v>
      </c>
      <c r="H1309" t="s">
        <v>192</v>
      </c>
      <c r="S1309">
        <v>51</v>
      </c>
      <c r="T1309" s="13">
        <f t="shared" si="22"/>
        <v>51</v>
      </c>
      <c r="U1309" t="s">
        <v>144</v>
      </c>
    </row>
    <row r="1310" spans="1:22" x14ac:dyDescent="0.3">
      <c r="A1310">
        <v>20</v>
      </c>
      <c r="B1310">
        <v>2</v>
      </c>
      <c r="C1310">
        <v>207730</v>
      </c>
      <c r="D1310" t="s">
        <v>58</v>
      </c>
      <c r="E1310" s="10">
        <v>44099</v>
      </c>
      <c r="F1310" t="s">
        <v>23</v>
      </c>
      <c r="G1310" s="3" t="s">
        <v>73</v>
      </c>
      <c r="H1310" t="s">
        <v>142</v>
      </c>
      <c r="S1310">
        <v>7</v>
      </c>
      <c r="T1310" s="13">
        <f t="shared" si="22"/>
        <v>7</v>
      </c>
      <c r="U1310" t="s">
        <v>144</v>
      </c>
    </row>
    <row r="1311" spans="1:22" x14ac:dyDescent="0.3">
      <c r="A1311">
        <v>20</v>
      </c>
      <c r="B1311">
        <v>2</v>
      </c>
      <c r="C1311">
        <v>207730</v>
      </c>
      <c r="D1311" t="s">
        <v>58</v>
      </c>
      <c r="E1311" s="10">
        <v>44099</v>
      </c>
      <c r="F1311" t="s">
        <v>23</v>
      </c>
      <c r="G1311" s="3" t="s">
        <v>73</v>
      </c>
      <c r="H1311" t="s">
        <v>274</v>
      </c>
      <c r="S1311">
        <v>19</v>
      </c>
      <c r="T1311" s="13">
        <f t="shared" si="22"/>
        <v>19</v>
      </c>
      <c r="U1311" t="s">
        <v>144</v>
      </c>
    </row>
    <row r="1312" spans="1:22" x14ac:dyDescent="0.3">
      <c r="A1312">
        <v>20</v>
      </c>
      <c r="B1312">
        <v>2</v>
      </c>
      <c r="C1312">
        <v>207730</v>
      </c>
      <c r="D1312" t="s">
        <v>58</v>
      </c>
      <c r="E1312" s="10">
        <v>44099</v>
      </c>
      <c r="F1312" t="s">
        <v>23</v>
      </c>
      <c r="G1312" s="3" t="s">
        <v>73</v>
      </c>
      <c r="H1312" t="s">
        <v>165</v>
      </c>
      <c r="S1312">
        <v>1</v>
      </c>
      <c r="T1312" s="13">
        <f t="shared" si="22"/>
        <v>1</v>
      </c>
      <c r="U1312" t="s">
        <v>144</v>
      </c>
    </row>
    <row r="1313" spans="1:21" x14ac:dyDescent="0.3">
      <c r="A1313">
        <v>20</v>
      </c>
      <c r="B1313">
        <v>2</v>
      </c>
      <c r="C1313">
        <v>207730</v>
      </c>
      <c r="D1313" t="s">
        <v>58</v>
      </c>
      <c r="E1313" s="10">
        <v>44099</v>
      </c>
      <c r="F1313" t="s">
        <v>23</v>
      </c>
      <c r="G1313" s="3" t="s">
        <v>73</v>
      </c>
      <c r="H1313" t="s">
        <v>32</v>
      </c>
      <c r="O1313">
        <v>8</v>
      </c>
      <c r="T1313" s="13">
        <f t="shared" si="22"/>
        <v>8</v>
      </c>
      <c r="U1313" t="s">
        <v>144</v>
      </c>
    </row>
    <row r="1314" spans="1:21" x14ac:dyDescent="0.3">
      <c r="A1314">
        <v>20</v>
      </c>
      <c r="B1314">
        <v>2</v>
      </c>
      <c r="C1314">
        <v>207730</v>
      </c>
      <c r="D1314" t="s">
        <v>58</v>
      </c>
      <c r="E1314" s="10">
        <v>44099</v>
      </c>
      <c r="F1314" t="s">
        <v>23</v>
      </c>
      <c r="G1314" s="3" t="s">
        <v>73</v>
      </c>
      <c r="H1314" t="s">
        <v>30</v>
      </c>
      <c r="J1314">
        <v>2</v>
      </c>
      <c r="T1314" s="13">
        <f t="shared" si="22"/>
        <v>2</v>
      </c>
      <c r="U1314" t="s">
        <v>144</v>
      </c>
    </row>
    <row r="1315" spans="1:21" x14ac:dyDescent="0.3">
      <c r="A1315">
        <v>20</v>
      </c>
      <c r="B1315">
        <v>2</v>
      </c>
      <c r="C1315">
        <v>207730</v>
      </c>
      <c r="D1315" t="s">
        <v>58</v>
      </c>
      <c r="E1315" s="10">
        <v>44099</v>
      </c>
      <c r="F1315" t="s">
        <v>23</v>
      </c>
      <c r="G1315" s="3" t="s">
        <v>73</v>
      </c>
      <c r="H1315" t="s">
        <v>31</v>
      </c>
      <c r="Q1315">
        <v>1</v>
      </c>
      <c r="T1315" s="13">
        <f t="shared" si="22"/>
        <v>1</v>
      </c>
      <c r="U1315" t="s">
        <v>144</v>
      </c>
    </row>
    <row r="1316" spans="1:21" x14ac:dyDescent="0.3">
      <c r="A1316">
        <v>20</v>
      </c>
      <c r="B1316">
        <v>2</v>
      </c>
      <c r="C1316">
        <v>207730</v>
      </c>
      <c r="D1316" t="s">
        <v>58</v>
      </c>
      <c r="E1316" s="10">
        <v>44099</v>
      </c>
      <c r="F1316" t="s">
        <v>23</v>
      </c>
      <c r="G1316" s="3" t="s">
        <v>73</v>
      </c>
      <c r="H1316" t="s">
        <v>37</v>
      </c>
      <c r="P1316">
        <v>1</v>
      </c>
      <c r="Q1316">
        <v>1</v>
      </c>
      <c r="T1316" s="13">
        <f t="shared" si="22"/>
        <v>2</v>
      </c>
      <c r="U1316" t="s">
        <v>144</v>
      </c>
    </row>
    <row r="1317" spans="1:21" x14ac:dyDescent="0.3">
      <c r="A1317">
        <v>20</v>
      </c>
      <c r="B1317">
        <v>2</v>
      </c>
      <c r="C1317">
        <v>207730</v>
      </c>
      <c r="D1317" t="s">
        <v>58</v>
      </c>
      <c r="E1317" s="10">
        <v>44099</v>
      </c>
      <c r="F1317" t="s">
        <v>23</v>
      </c>
      <c r="G1317" s="3" t="s">
        <v>73</v>
      </c>
      <c r="H1317" t="s">
        <v>38</v>
      </c>
      <c r="P1317">
        <v>7</v>
      </c>
      <c r="Q1317">
        <v>2</v>
      </c>
      <c r="R1317">
        <v>4</v>
      </c>
      <c r="T1317" s="13">
        <f t="shared" si="22"/>
        <v>13</v>
      </c>
      <c r="U1317" t="s">
        <v>144</v>
      </c>
    </row>
    <row r="1318" spans="1:21" x14ac:dyDescent="0.3">
      <c r="A1318">
        <v>20</v>
      </c>
      <c r="B1318">
        <v>2</v>
      </c>
      <c r="C1318">
        <v>207730</v>
      </c>
      <c r="D1318" t="s">
        <v>58</v>
      </c>
      <c r="E1318" s="10">
        <v>44099</v>
      </c>
      <c r="F1318" t="s">
        <v>23</v>
      </c>
      <c r="G1318" s="3" t="s">
        <v>73</v>
      </c>
      <c r="H1318" t="s">
        <v>34</v>
      </c>
      <c r="P1318">
        <v>1</v>
      </c>
      <c r="Q1318">
        <v>3</v>
      </c>
      <c r="R1318">
        <v>5</v>
      </c>
      <c r="T1318" s="13">
        <f t="shared" si="22"/>
        <v>9</v>
      </c>
      <c r="U1318" t="s">
        <v>144</v>
      </c>
    </row>
    <row r="1319" spans="1:21" x14ac:dyDescent="0.3">
      <c r="A1319">
        <v>20</v>
      </c>
      <c r="B1319">
        <v>2</v>
      </c>
      <c r="C1319">
        <v>207730</v>
      </c>
      <c r="D1319" t="s">
        <v>58</v>
      </c>
      <c r="E1319" s="10">
        <v>44099</v>
      </c>
      <c r="F1319" t="s">
        <v>23</v>
      </c>
      <c r="G1319" s="3" t="s">
        <v>73</v>
      </c>
      <c r="H1319" t="s">
        <v>67</v>
      </c>
      <c r="P1319">
        <v>1</v>
      </c>
      <c r="T1319" s="13">
        <f t="shared" si="22"/>
        <v>1</v>
      </c>
      <c r="U1319" t="s">
        <v>144</v>
      </c>
    </row>
    <row r="1320" spans="1:21" x14ac:dyDescent="0.3">
      <c r="A1320">
        <v>20</v>
      </c>
      <c r="B1320">
        <v>2</v>
      </c>
      <c r="C1320">
        <v>207730</v>
      </c>
      <c r="D1320" t="s">
        <v>58</v>
      </c>
      <c r="E1320" s="10">
        <v>44099</v>
      </c>
      <c r="F1320" t="s">
        <v>23</v>
      </c>
      <c r="G1320" s="3" t="s">
        <v>73</v>
      </c>
      <c r="H1320" t="s">
        <v>79</v>
      </c>
      <c r="S1320">
        <v>2</v>
      </c>
      <c r="T1320" s="13">
        <f t="shared" si="22"/>
        <v>2</v>
      </c>
      <c r="U1320" t="s">
        <v>144</v>
      </c>
    </row>
    <row r="1321" spans="1:21" x14ac:dyDescent="0.3">
      <c r="A1321">
        <v>20</v>
      </c>
      <c r="B1321">
        <v>2</v>
      </c>
      <c r="C1321">
        <v>207730</v>
      </c>
      <c r="D1321" t="s">
        <v>58</v>
      </c>
      <c r="E1321" s="10">
        <v>44099</v>
      </c>
      <c r="F1321" t="s">
        <v>23</v>
      </c>
      <c r="G1321" s="3" t="s">
        <v>73</v>
      </c>
      <c r="H1321" t="s">
        <v>51</v>
      </c>
      <c r="S1321">
        <v>2</v>
      </c>
      <c r="T1321" s="13">
        <f t="shared" si="22"/>
        <v>2</v>
      </c>
      <c r="U1321" t="s">
        <v>144</v>
      </c>
    </row>
    <row r="1322" spans="1:21" x14ac:dyDescent="0.3">
      <c r="A1322">
        <v>20</v>
      </c>
      <c r="B1322">
        <v>2</v>
      </c>
      <c r="C1322">
        <v>207730</v>
      </c>
      <c r="D1322" t="s">
        <v>58</v>
      </c>
      <c r="E1322" s="10">
        <v>44099</v>
      </c>
      <c r="F1322" t="s">
        <v>23</v>
      </c>
      <c r="G1322" s="3" t="s">
        <v>73</v>
      </c>
      <c r="H1322" t="s">
        <v>41</v>
      </c>
      <c r="S1322">
        <v>1</v>
      </c>
      <c r="T1322" s="13">
        <f t="shared" si="22"/>
        <v>1</v>
      </c>
      <c r="U1322" t="s">
        <v>144</v>
      </c>
    </row>
    <row r="1323" spans="1:21" x14ac:dyDescent="0.3">
      <c r="A1323">
        <v>20</v>
      </c>
      <c r="B1323">
        <v>2</v>
      </c>
      <c r="C1323">
        <v>207730</v>
      </c>
      <c r="D1323" t="s">
        <v>58</v>
      </c>
      <c r="E1323" s="10">
        <v>44099</v>
      </c>
      <c r="F1323" t="s">
        <v>23</v>
      </c>
      <c r="G1323" s="3" t="s">
        <v>73</v>
      </c>
      <c r="H1323" t="s">
        <v>43</v>
      </c>
      <c r="Q1323">
        <v>1</v>
      </c>
      <c r="T1323" s="13">
        <f t="shared" si="22"/>
        <v>1</v>
      </c>
      <c r="U1323" t="s">
        <v>144</v>
      </c>
    </row>
    <row r="1324" spans="1:21" x14ac:dyDescent="0.3">
      <c r="A1324">
        <v>20</v>
      </c>
      <c r="B1324">
        <v>2</v>
      </c>
      <c r="C1324">
        <v>207730</v>
      </c>
      <c r="D1324" t="s">
        <v>58</v>
      </c>
      <c r="E1324" s="10">
        <v>44099</v>
      </c>
      <c r="F1324" t="s">
        <v>23</v>
      </c>
      <c r="G1324" s="3" t="s">
        <v>73</v>
      </c>
      <c r="H1324" t="s">
        <v>45</v>
      </c>
      <c r="I1324">
        <v>1</v>
      </c>
      <c r="K1324">
        <v>2</v>
      </c>
      <c r="T1324" s="13">
        <f t="shared" si="22"/>
        <v>3</v>
      </c>
      <c r="U1324" t="s">
        <v>144</v>
      </c>
    </row>
    <row r="1325" spans="1:21" x14ac:dyDescent="0.3">
      <c r="A1325">
        <v>20</v>
      </c>
      <c r="B1325">
        <v>2</v>
      </c>
      <c r="C1325">
        <v>207730</v>
      </c>
      <c r="D1325" t="s">
        <v>58</v>
      </c>
      <c r="E1325" s="10">
        <v>44099</v>
      </c>
      <c r="F1325" t="s">
        <v>23</v>
      </c>
      <c r="G1325" s="3" t="s">
        <v>73</v>
      </c>
      <c r="H1325" t="s">
        <v>46</v>
      </c>
      <c r="Q1325">
        <v>6</v>
      </c>
      <c r="T1325" s="13">
        <f t="shared" si="22"/>
        <v>6</v>
      </c>
      <c r="U1325" t="s">
        <v>144</v>
      </c>
    </row>
    <row r="1326" spans="1:21" x14ac:dyDescent="0.3">
      <c r="A1326">
        <v>20</v>
      </c>
      <c r="B1326">
        <v>2</v>
      </c>
      <c r="C1326">
        <v>207730</v>
      </c>
      <c r="D1326" t="s">
        <v>58</v>
      </c>
      <c r="E1326" s="10">
        <v>44099</v>
      </c>
      <c r="F1326" t="s">
        <v>23</v>
      </c>
      <c r="G1326" s="3" t="s">
        <v>52</v>
      </c>
      <c r="H1326" t="s">
        <v>141</v>
      </c>
      <c r="S1326">
        <v>1</v>
      </c>
      <c r="T1326" s="13">
        <f t="shared" si="22"/>
        <v>1</v>
      </c>
      <c r="U1326" t="s">
        <v>143</v>
      </c>
    </row>
    <row r="1327" spans="1:21" x14ac:dyDescent="0.3">
      <c r="A1327">
        <v>20</v>
      </c>
      <c r="B1327">
        <v>2</v>
      </c>
      <c r="C1327">
        <v>207730</v>
      </c>
      <c r="D1327" t="s">
        <v>58</v>
      </c>
      <c r="E1327" s="10">
        <v>44099</v>
      </c>
      <c r="F1327" t="s">
        <v>23</v>
      </c>
      <c r="G1327" s="3" t="s">
        <v>52</v>
      </c>
      <c r="H1327" t="s">
        <v>238</v>
      </c>
      <c r="S1327">
        <v>2</v>
      </c>
      <c r="T1327" s="13">
        <f t="shared" si="22"/>
        <v>2</v>
      </c>
      <c r="U1327" t="s">
        <v>143</v>
      </c>
    </row>
    <row r="1328" spans="1:21" x14ac:dyDescent="0.3">
      <c r="A1328">
        <v>20</v>
      </c>
      <c r="B1328">
        <v>2</v>
      </c>
      <c r="C1328">
        <v>207730</v>
      </c>
      <c r="D1328" t="s">
        <v>58</v>
      </c>
      <c r="E1328" s="10">
        <v>44099</v>
      </c>
      <c r="F1328" t="s">
        <v>23</v>
      </c>
      <c r="G1328" s="3" t="s">
        <v>52</v>
      </c>
      <c r="H1328" t="s">
        <v>29</v>
      </c>
      <c r="S1328">
        <v>5</v>
      </c>
      <c r="T1328" s="13">
        <f t="shared" si="22"/>
        <v>5</v>
      </c>
      <c r="U1328" t="s">
        <v>143</v>
      </c>
    </row>
    <row r="1329" spans="1:22" x14ac:dyDescent="0.3">
      <c r="A1329">
        <v>20</v>
      </c>
      <c r="B1329">
        <v>2</v>
      </c>
      <c r="C1329">
        <v>207730</v>
      </c>
      <c r="D1329" t="s">
        <v>58</v>
      </c>
      <c r="E1329" s="10">
        <v>44099</v>
      </c>
      <c r="F1329" t="s">
        <v>23</v>
      </c>
      <c r="G1329" s="3" t="s">
        <v>52</v>
      </c>
      <c r="H1329" t="s">
        <v>82</v>
      </c>
      <c r="S1329">
        <v>14</v>
      </c>
      <c r="T1329" s="13">
        <f t="shared" si="22"/>
        <v>14</v>
      </c>
      <c r="U1329" t="s">
        <v>143</v>
      </c>
    </row>
    <row r="1330" spans="1:22" x14ac:dyDescent="0.3">
      <c r="A1330">
        <v>20</v>
      </c>
      <c r="B1330">
        <v>2</v>
      </c>
      <c r="C1330">
        <v>207730</v>
      </c>
      <c r="D1330" t="s">
        <v>58</v>
      </c>
      <c r="E1330" s="10">
        <v>44099</v>
      </c>
      <c r="F1330" t="s">
        <v>23</v>
      </c>
      <c r="G1330" s="3" t="s">
        <v>52</v>
      </c>
      <c r="H1330" t="s">
        <v>64</v>
      </c>
      <c r="S1330">
        <v>1</v>
      </c>
      <c r="T1330" s="13">
        <f t="shared" si="22"/>
        <v>1</v>
      </c>
      <c r="U1330" t="s">
        <v>143</v>
      </c>
    </row>
    <row r="1331" spans="1:22" x14ac:dyDescent="0.3">
      <c r="A1331">
        <v>20</v>
      </c>
      <c r="B1331">
        <v>2</v>
      </c>
      <c r="C1331">
        <v>207730</v>
      </c>
      <c r="D1331" t="s">
        <v>58</v>
      </c>
      <c r="E1331" s="10">
        <v>44099</v>
      </c>
      <c r="F1331" t="s">
        <v>23</v>
      </c>
      <c r="G1331" s="3" t="s">
        <v>52</v>
      </c>
      <c r="H1331" t="s">
        <v>165</v>
      </c>
      <c r="S1331">
        <v>3</v>
      </c>
      <c r="T1331" s="13">
        <f t="shared" si="22"/>
        <v>3</v>
      </c>
      <c r="U1331" t="s">
        <v>143</v>
      </c>
    </row>
    <row r="1332" spans="1:22" x14ac:dyDescent="0.3">
      <c r="A1332">
        <v>20</v>
      </c>
      <c r="B1332">
        <v>2</v>
      </c>
      <c r="C1332">
        <v>207730</v>
      </c>
      <c r="D1332" t="s">
        <v>58</v>
      </c>
      <c r="E1332" s="10">
        <v>44099</v>
      </c>
      <c r="F1332" t="s">
        <v>23</v>
      </c>
      <c r="G1332" s="3" t="s">
        <v>52</v>
      </c>
      <c r="H1332" t="s">
        <v>180</v>
      </c>
      <c r="S1332">
        <v>3</v>
      </c>
      <c r="T1332" s="13">
        <f t="shared" si="22"/>
        <v>3</v>
      </c>
      <c r="U1332" t="s">
        <v>143</v>
      </c>
    </row>
    <row r="1333" spans="1:22" x14ac:dyDescent="0.3">
      <c r="A1333">
        <v>20</v>
      </c>
      <c r="B1333">
        <v>2</v>
      </c>
      <c r="C1333">
        <v>207730</v>
      </c>
      <c r="D1333" t="s">
        <v>58</v>
      </c>
      <c r="E1333" s="10">
        <v>44099</v>
      </c>
      <c r="F1333" t="s">
        <v>23</v>
      </c>
      <c r="G1333" s="3" t="s">
        <v>52</v>
      </c>
      <c r="H1333" t="s">
        <v>37</v>
      </c>
      <c r="P1333">
        <v>1</v>
      </c>
      <c r="Q1333">
        <v>1</v>
      </c>
      <c r="T1333" s="13">
        <f t="shared" ref="T1333:T1396" si="23">SUM(I1333:S1333)</f>
        <v>2</v>
      </c>
      <c r="U1333" t="s">
        <v>144</v>
      </c>
    </row>
    <row r="1334" spans="1:22" x14ac:dyDescent="0.3">
      <c r="A1334">
        <v>20</v>
      </c>
      <c r="B1334">
        <v>2</v>
      </c>
      <c r="C1334">
        <v>207730</v>
      </c>
      <c r="D1334" t="s">
        <v>58</v>
      </c>
      <c r="E1334" s="10">
        <v>44099</v>
      </c>
      <c r="F1334" t="s">
        <v>23</v>
      </c>
      <c r="G1334" s="3" t="s">
        <v>52</v>
      </c>
      <c r="H1334" t="s">
        <v>32</v>
      </c>
      <c r="O1334">
        <v>1</v>
      </c>
      <c r="T1334" s="13">
        <f t="shared" si="23"/>
        <v>1</v>
      </c>
      <c r="U1334" t="s">
        <v>144</v>
      </c>
    </row>
    <row r="1335" spans="1:22" x14ac:dyDescent="0.3">
      <c r="A1335">
        <v>20</v>
      </c>
      <c r="B1335">
        <v>2</v>
      </c>
      <c r="C1335">
        <v>207730</v>
      </c>
      <c r="D1335" t="s">
        <v>58</v>
      </c>
      <c r="E1335" s="10">
        <v>44099</v>
      </c>
      <c r="F1335" t="s">
        <v>23</v>
      </c>
      <c r="G1335" s="3" t="s">
        <v>52</v>
      </c>
      <c r="H1335" t="s">
        <v>38</v>
      </c>
      <c r="R1335">
        <v>1</v>
      </c>
      <c r="T1335" s="13">
        <f t="shared" si="23"/>
        <v>1</v>
      </c>
      <c r="U1335" t="s">
        <v>144</v>
      </c>
    </row>
    <row r="1336" spans="1:22" x14ac:dyDescent="0.3">
      <c r="A1336">
        <v>20</v>
      </c>
      <c r="B1336">
        <v>2</v>
      </c>
      <c r="C1336">
        <v>207730</v>
      </c>
      <c r="D1336" t="s">
        <v>58</v>
      </c>
      <c r="E1336" s="10">
        <v>44099</v>
      </c>
      <c r="F1336" t="s">
        <v>23</v>
      </c>
      <c r="G1336" s="3" t="s">
        <v>52</v>
      </c>
      <c r="H1336" t="s">
        <v>274</v>
      </c>
      <c r="S1336">
        <v>2</v>
      </c>
      <c r="T1336" s="13">
        <f t="shared" si="23"/>
        <v>2</v>
      </c>
      <c r="U1336" t="s">
        <v>144</v>
      </c>
    </row>
    <row r="1337" spans="1:22" s="5" customFormat="1" ht="16.2" thickBot="1" x14ac:dyDescent="0.35">
      <c r="A1337" s="5">
        <v>20</v>
      </c>
      <c r="B1337" s="5">
        <v>2</v>
      </c>
      <c r="C1337" s="5">
        <v>207730</v>
      </c>
      <c r="D1337" s="5" t="s">
        <v>58</v>
      </c>
      <c r="E1337" s="11">
        <v>44099</v>
      </c>
      <c r="F1337" s="5" t="s">
        <v>23</v>
      </c>
      <c r="G1337" s="6" t="s">
        <v>52</v>
      </c>
      <c r="H1337" s="5" t="s">
        <v>89</v>
      </c>
      <c r="S1337" s="5">
        <v>1</v>
      </c>
      <c r="T1337" s="12">
        <f t="shared" si="23"/>
        <v>1</v>
      </c>
      <c r="U1337" s="5" t="s">
        <v>144</v>
      </c>
      <c r="V1337" s="14" t="s">
        <v>242</v>
      </c>
    </row>
    <row r="1338" spans="1:22" x14ac:dyDescent="0.3">
      <c r="A1338">
        <v>20</v>
      </c>
      <c r="B1338">
        <v>3</v>
      </c>
      <c r="C1338">
        <v>207731</v>
      </c>
      <c r="D1338" t="s">
        <v>58</v>
      </c>
      <c r="E1338" s="10">
        <v>44099</v>
      </c>
      <c r="F1338" t="s">
        <v>23</v>
      </c>
      <c r="G1338" s="3" t="s">
        <v>28</v>
      </c>
      <c r="H1338" t="s">
        <v>25</v>
      </c>
      <c r="O1338">
        <v>13</v>
      </c>
      <c r="P1338">
        <v>159</v>
      </c>
      <c r="Q1338">
        <v>5</v>
      </c>
      <c r="T1338" s="13">
        <f t="shared" si="23"/>
        <v>177</v>
      </c>
      <c r="U1338" t="s">
        <v>144</v>
      </c>
    </row>
    <row r="1339" spans="1:22" x14ac:dyDescent="0.3">
      <c r="A1339">
        <v>20</v>
      </c>
      <c r="B1339">
        <v>3</v>
      </c>
      <c r="C1339">
        <v>207731</v>
      </c>
      <c r="D1339" t="s">
        <v>58</v>
      </c>
      <c r="E1339" s="10">
        <v>44099</v>
      </c>
      <c r="F1339" t="s">
        <v>23</v>
      </c>
      <c r="G1339" s="3" t="s">
        <v>28</v>
      </c>
      <c r="H1339" t="s">
        <v>27</v>
      </c>
      <c r="O1339">
        <v>1</v>
      </c>
      <c r="T1339" s="13">
        <f t="shared" si="23"/>
        <v>1</v>
      </c>
      <c r="U1339" t="s">
        <v>144</v>
      </c>
    </row>
    <row r="1340" spans="1:22" x14ac:dyDescent="0.3">
      <c r="A1340">
        <v>20</v>
      </c>
      <c r="B1340">
        <v>3</v>
      </c>
      <c r="C1340">
        <v>207731</v>
      </c>
      <c r="D1340" t="s">
        <v>58</v>
      </c>
      <c r="E1340" s="10">
        <v>44099</v>
      </c>
      <c r="F1340" t="s">
        <v>23</v>
      </c>
      <c r="G1340" s="3" t="s">
        <v>28</v>
      </c>
      <c r="H1340" t="s">
        <v>141</v>
      </c>
      <c r="S1340">
        <v>1</v>
      </c>
      <c r="T1340" s="13">
        <f t="shared" si="23"/>
        <v>1</v>
      </c>
      <c r="U1340" t="s">
        <v>144</v>
      </c>
    </row>
    <row r="1341" spans="1:22" x14ac:dyDescent="0.3">
      <c r="A1341">
        <v>20</v>
      </c>
      <c r="B1341">
        <v>3</v>
      </c>
      <c r="C1341">
        <v>207731</v>
      </c>
      <c r="D1341" t="s">
        <v>58</v>
      </c>
      <c r="E1341" s="10">
        <v>44099</v>
      </c>
      <c r="F1341" t="s">
        <v>23</v>
      </c>
      <c r="G1341" s="3" t="s">
        <v>28</v>
      </c>
      <c r="H1341" t="s">
        <v>30</v>
      </c>
      <c r="I1341">
        <v>1</v>
      </c>
      <c r="J1341">
        <v>1</v>
      </c>
      <c r="T1341" s="13">
        <f t="shared" si="23"/>
        <v>2</v>
      </c>
      <c r="U1341" t="s">
        <v>144</v>
      </c>
    </row>
    <row r="1342" spans="1:22" x14ac:dyDescent="0.3">
      <c r="A1342">
        <v>20</v>
      </c>
      <c r="B1342">
        <v>3</v>
      </c>
      <c r="C1342">
        <v>207731</v>
      </c>
      <c r="D1342" t="s">
        <v>58</v>
      </c>
      <c r="E1342" s="10">
        <v>44099</v>
      </c>
      <c r="F1342" t="s">
        <v>23</v>
      </c>
      <c r="G1342" s="3" t="s">
        <v>28</v>
      </c>
      <c r="H1342" t="s">
        <v>274</v>
      </c>
      <c r="S1342">
        <v>13</v>
      </c>
      <c r="T1342" s="13">
        <f t="shared" si="23"/>
        <v>13</v>
      </c>
      <c r="U1342" t="s">
        <v>144</v>
      </c>
    </row>
    <row r="1343" spans="1:22" x14ac:dyDescent="0.3">
      <c r="A1343">
        <v>20</v>
      </c>
      <c r="B1343">
        <v>3</v>
      </c>
      <c r="C1343">
        <v>207731</v>
      </c>
      <c r="D1343" t="s">
        <v>58</v>
      </c>
      <c r="E1343" s="10">
        <v>44099</v>
      </c>
      <c r="F1343" t="s">
        <v>23</v>
      </c>
      <c r="G1343" s="3" t="s">
        <v>28</v>
      </c>
      <c r="H1343" t="s">
        <v>192</v>
      </c>
      <c r="S1343">
        <v>14</v>
      </c>
      <c r="T1343" s="13">
        <f t="shared" si="23"/>
        <v>14</v>
      </c>
      <c r="U1343" t="s">
        <v>144</v>
      </c>
    </row>
    <row r="1344" spans="1:22" x14ac:dyDescent="0.3">
      <c r="A1344">
        <v>20</v>
      </c>
      <c r="B1344">
        <v>3</v>
      </c>
      <c r="C1344">
        <v>207731</v>
      </c>
      <c r="D1344" t="s">
        <v>58</v>
      </c>
      <c r="E1344" s="10">
        <v>44099</v>
      </c>
      <c r="F1344" t="s">
        <v>23</v>
      </c>
      <c r="G1344" s="3" t="s">
        <v>28</v>
      </c>
      <c r="H1344" t="s">
        <v>142</v>
      </c>
      <c r="S1344">
        <v>4</v>
      </c>
      <c r="T1344" s="13">
        <f t="shared" si="23"/>
        <v>4</v>
      </c>
      <c r="U1344" t="s">
        <v>144</v>
      </c>
    </row>
    <row r="1345" spans="1:22" x14ac:dyDescent="0.3">
      <c r="A1345">
        <v>20</v>
      </c>
      <c r="B1345">
        <v>3</v>
      </c>
      <c r="C1345">
        <v>207731</v>
      </c>
      <c r="D1345" t="s">
        <v>58</v>
      </c>
      <c r="E1345" s="10">
        <v>44099</v>
      </c>
      <c r="F1345" t="s">
        <v>23</v>
      </c>
      <c r="G1345" s="3" t="s">
        <v>28</v>
      </c>
      <c r="H1345" t="s">
        <v>32</v>
      </c>
      <c r="O1345">
        <v>2</v>
      </c>
      <c r="T1345" s="13">
        <f t="shared" si="23"/>
        <v>2</v>
      </c>
      <c r="U1345" t="s">
        <v>144</v>
      </c>
    </row>
    <row r="1346" spans="1:22" x14ac:dyDescent="0.3">
      <c r="A1346">
        <v>20</v>
      </c>
      <c r="B1346">
        <v>3</v>
      </c>
      <c r="C1346">
        <v>207731</v>
      </c>
      <c r="D1346" t="s">
        <v>58</v>
      </c>
      <c r="E1346" s="10">
        <v>44099</v>
      </c>
      <c r="F1346" t="s">
        <v>23</v>
      </c>
      <c r="G1346" s="3" t="s">
        <v>28</v>
      </c>
      <c r="H1346" t="s">
        <v>37</v>
      </c>
      <c r="P1346">
        <v>2</v>
      </c>
      <c r="Q1346">
        <v>1</v>
      </c>
      <c r="T1346" s="13">
        <f t="shared" si="23"/>
        <v>3</v>
      </c>
      <c r="U1346" t="s">
        <v>144</v>
      </c>
    </row>
    <row r="1347" spans="1:22" x14ac:dyDescent="0.3">
      <c r="A1347">
        <v>20</v>
      </c>
      <c r="B1347">
        <v>3</v>
      </c>
      <c r="C1347">
        <v>207731</v>
      </c>
      <c r="D1347" t="s">
        <v>58</v>
      </c>
      <c r="E1347" s="10">
        <v>44099</v>
      </c>
      <c r="F1347" t="s">
        <v>23</v>
      </c>
      <c r="G1347" s="3" t="s">
        <v>28</v>
      </c>
      <c r="H1347" t="s">
        <v>38</v>
      </c>
      <c r="P1347">
        <v>1</v>
      </c>
      <c r="Q1347">
        <v>3</v>
      </c>
      <c r="R1347">
        <v>2</v>
      </c>
      <c r="T1347" s="13">
        <f t="shared" si="23"/>
        <v>6</v>
      </c>
      <c r="U1347" t="s">
        <v>144</v>
      </c>
    </row>
    <row r="1348" spans="1:22" x14ac:dyDescent="0.3">
      <c r="A1348">
        <v>20</v>
      </c>
      <c r="B1348">
        <v>3</v>
      </c>
      <c r="C1348">
        <v>207731</v>
      </c>
      <c r="D1348" t="s">
        <v>58</v>
      </c>
      <c r="E1348" s="10">
        <v>44099</v>
      </c>
      <c r="F1348" t="s">
        <v>23</v>
      </c>
      <c r="G1348" s="3" t="s">
        <v>28</v>
      </c>
      <c r="H1348" t="s">
        <v>34</v>
      </c>
      <c r="P1348">
        <v>5</v>
      </c>
      <c r="Q1348">
        <v>5</v>
      </c>
      <c r="R1348">
        <v>15</v>
      </c>
      <c r="T1348" s="13">
        <f t="shared" si="23"/>
        <v>25</v>
      </c>
      <c r="U1348" t="s">
        <v>144</v>
      </c>
    </row>
    <row r="1349" spans="1:22" x14ac:dyDescent="0.3">
      <c r="A1349">
        <v>20</v>
      </c>
      <c r="B1349">
        <v>3</v>
      </c>
      <c r="C1349">
        <v>207731</v>
      </c>
      <c r="D1349" t="s">
        <v>58</v>
      </c>
      <c r="E1349" s="10">
        <v>44099</v>
      </c>
      <c r="F1349" t="s">
        <v>23</v>
      </c>
      <c r="G1349" s="3" t="s">
        <v>28</v>
      </c>
      <c r="H1349" t="s">
        <v>31</v>
      </c>
      <c r="P1349">
        <v>2</v>
      </c>
      <c r="T1349" s="13">
        <f t="shared" si="23"/>
        <v>2</v>
      </c>
      <c r="U1349" t="s">
        <v>144</v>
      </c>
    </row>
    <row r="1350" spans="1:22" x14ac:dyDescent="0.3">
      <c r="A1350">
        <v>20</v>
      </c>
      <c r="B1350">
        <v>3</v>
      </c>
      <c r="C1350">
        <v>207731</v>
      </c>
      <c r="D1350" t="s">
        <v>58</v>
      </c>
      <c r="E1350" s="10">
        <v>44099</v>
      </c>
      <c r="F1350" t="s">
        <v>23</v>
      </c>
      <c r="G1350" s="3" t="s">
        <v>28</v>
      </c>
      <c r="H1350" t="s">
        <v>67</v>
      </c>
      <c r="P1350">
        <v>1</v>
      </c>
      <c r="T1350" s="13">
        <f t="shared" si="23"/>
        <v>1</v>
      </c>
      <c r="U1350" t="s">
        <v>144</v>
      </c>
    </row>
    <row r="1351" spans="1:22" x14ac:dyDescent="0.3">
      <c r="A1351">
        <v>20</v>
      </c>
      <c r="B1351">
        <v>3</v>
      </c>
      <c r="C1351">
        <v>207731</v>
      </c>
      <c r="D1351" t="s">
        <v>58</v>
      </c>
      <c r="E1351" s="10">
        <v>44099</v>
      </c>
      <c r="F1351" t="s">
        <v>23</v>
      </c>
      <c r="G1351" s="3" t="s">
        <v>28</v>
      </c>
      <c r="H1351" t="s">
        <v>51</v>
      </c>
      <c r="S1351">
        <v>1</v>
      </c>
      <c r="T1351" s="13">
        <f t="shared" si="23"/>
        <v>1</v>
      </c>
      <c r="U1351" t="s">
        <v>144</v>
      </c>
    </row>
    <row r="1352" spans="1:22" x14ac:dyDescent="0.3">
      <c r="A1352">
        <v>20</v>
      </c>
      <c r="B1352">
        <v>3</v>
      </c>
      <c r="C1352">
        <v>207731</v>
      </c>
      <c r="D1352" t="s">
        <v>58</v>
      </c>
      <c r="E1352" s="10">
        <v>44099</v>
      </c>
      <c r="F1352" t="s">
        <v>23</v>
      </c>
      <c r="G1352" s="3" t="s">
        <v>28</v>
      </c>
      <c r="H1352" t="s">
        <v>43</v>
      </c>
      <c r="K1352">
        <v>2</v>
      </c>
      <c r="Q1352">
        <v>2</v>
      </c>
      <c r="T1352" s="13">
        <f t="shared" si="23"/>
        <v>4</v>
      </c>
      <c r="U1352" t="s">
        <v>144</v>
      </c>
    </row>
    <row r="1353" spans="1:22" x14ac:dyDescent="0.3">
      <c r="A1353">
        <v>20</v>
      </c>
      <c r="B1353">
        <v>3</v>
      </c>
      <c r="C1353">
        <v>207731</v>
      </c>
      <c r="D1353" t="s">
        <v>58</v>
      </c>
      <c r="E1353" s="10">
        <v>44099</v>
      </c>
      <c r="F1353" t="s">
        <v>23</v>
      </c>
      <c r="G1353" s="3" t="s">
        <v>28</v>
      </c>
      <c r="H1353" t="s">
        <v>46</v>
      </c>
      <c r="Q1353">
        <v>5</v>
      </c>
      <c r="R1353">
        <v>1</v>
      </c>
      <c r="T1353" s="13">
        <f t="shared" si="23"/>
        <v>6</v>
      </c>
      <c r="U1353" t="s">
        <v>144</v>
      </c>
    </row>
    <row r="1354" spans="1:22" x14ac:dyDescent="0.3">
      <c r="A1354">
        <v>20</v>
      </c>
      <c r="B1354">
        <v>3</v>
      </c>
      <c r="C1354">
        <v>207731</v>
      </c>
      <c r="D1354" t="s">
        <v>58</v>
      </c>
      <c r="E1354" s="10">
        <v>44099</v>
      </c>
      <c r="F1354" t="s">
        <v>23</v>
      </c>
      <c r="G1354" s="3" t="s">
        <v>28</v>
      </c>
      <c r="H1354" t="s">
        <v>74</v>
      </c>
      <c r="Q1354">
        <v>1</v>
      </c>
      <c r="T1354" s="13">
        <f t="shared" si="23"/>
        <v>1</v>
      </c>
      <c r="U1354" t="s">
        <v>144</v>
      </c>
    </row>
    <row r="1355" spans="1:22" x14ac:dyDescent="0.3">
      <c r="A1355">
        <v>20</v>
      </c>
      <c r="B1355">
        <v>3</v>
      </c>
      <c r="C1355">
        <v>207731</v>
      </c>
      <c r="D1355" t="s">
        <v>58</v>
      </c>
      <c r="E1355" s="10">
        <v>44099</v>
      </c>
      <c r="F1355" t="s">
        <v>23</v>
      </c>
      <c r="G1355" s="3" t="s">
        <v>28</v>
      </c>
      <c r="H1355" t="s">
        <v>45</v>
      </c>
      <c r="I1355">
        <v>1</v>
      </c>
      <c r="K1355">
        <v>1</v>
      </c>
      <c r="T1355" s="13">
        <f t="shared" si="23"/>
        <v>2</v>
      </c>
      <c r="U1355" t="s">
        <v>144</v>
      </c>
    </row>
    <row r="1356" spans="1:22" x14ac:dyDescent="0.3">
      <c r="A1356">
        <v>20</v>
      </c>
      <c r="B1356">
        <v>3</v>
      </c>
      <c r="C1356">
        <v>207731</v>
      </c>
      <c r="D1356" t="s">
        <v>58</v>
      </c>
      <c r="E1356" s="10">
        <v>44099</v>
      </c>
      <c r="F1356" t="s">
        <v>23</v>
      </c>
      <c r="G1356" s="3" t="s">
        <v>52</v>
      </c>
      <c r="H1356" t="s">
        <v>64</v>
      </c>
      <c r="S1356">
        <v>2</v>
      </c>
      <c r="T1356" s="13">
        <f t="shared" si="23"/>
        <v>2</v>
      </c>
      <c r="U1356" t="s">
        <v>143</v>
      </c>
    </row>
    <row r="1357" spans="1:22" x14ac:dyDescent="0.3">
      <c r="A1357">
        <v>20</v>
      </c>
      <c r="B1357">
        <v>3</v>
      </c>
      <c r="C1357">
        <v>207731</v>
      </c>
      <c r="D1357" t="s">
        <v>58</v>
      </c>
      <c r="E1357" s="10">
        <v>44099</v>
      </c>
      <c r="F1357" t="s">
        <v>23</v>
      </c>
      <c r="G1357" s="3" t="s">
        <v>52</v>
      </c>
      <c r="H1357" t="s">
        <v>82</v>
      </c>
      <c r="S1357">
        <v>1</v>
      </c>
      <c r="T1357" s="13">
        <f t="shared" si="23"/>
        <v>1</v>
      </c>
      <c r="U1357" t="s">
        <v>143</v>
      </c>
    </row>
    <row r="1358" spans="1:22" x14ac:dyDescent="0.3">
      <c r="A1358">
        <v>20</v>
      </c>
      <c r="B1358">
        <v>3</v>
      </c>
      <c r="C1358">
        <v>207731</v>
      </c>
      <c r="D1358" t="s">
        <v>58</v>
      </c>
      <c r="E1358" s="10">
        <v>44099</v>
      </c>
      <c r="F1358" t="s">
        <v>23</v>
      </c>
      <c r="G1358" s="3" t="s">
        <v>52</v>
      </c>
      <c r="H1358" t="s">
        <v>141</v>
      </c>
      <c r="S1358">
        <v>3</v>
      </c>
      <c r="T1358" s="13">
        <f t="shared" si="23"/>
        <v>3</v>
      </c>
      <c r="U1358" t="s">
        <v>143</v>
      </c>
    </row>
    <row r="1359" spans="1:22" s="5" customFormat="1" ht="16.2" thickBot="1" x14ac:dyDescent="0.35">
      <c r="A1359" s="5">
        <v>20</v>
      </c>
      <c r="B1359" s="5">
        <v>3</v>
      </c>
      <c r="C1359" s="5">
        <v>207731</v>
      </c>
      <c r="D1359" s="5" t="s">
        <v>58</v>
      </c>
      <c r="E1359" s="11">
        <v>44099</v>
      </c>
      <c r="F1359" s="5" t="s">
        <v>23</v>
      </c>
      <c r="G1359" s="6" t="s">
        <v>28</v>
      </c>
      <c r="H1359" s="5" t="s">
        <v>180</v>
      </c>
      <c r="S1359" s="5">
        <v>1</v>
      </c>
      <c r="T1359" s="12">
        <f t="shared" si="23"/>
        <v>1</v>
      </c>
      <c r="U1359" s="5" t="s">
        <v>144</v>
      </c>
      <c r="V1359" s="14" t="s">
        <v>277</v>
      </c>
    </row>
    <row r="1360" spans="1:22" x14ac:dyDescent="0.3">
      <c r="A1360">
        <v>20</v>
      </c>
      <c r="B1360">
        <v>4</v>
      </c>
      <c r="C1360">
        <v>207732</v>
      </c>
      <c r="D1360" t="s">
        <v>58</v>
      </c>
      <c r="E1360" s="10">
        <v>44099</v>
      </c>
      <c r="F1360" t="s">
        <v>23</v>
      </c>
      <c r="G1360" s="3" t="s">
        <v>52</v>
      </c>
      <c r="H1360" t="s">
        <v>64</v>
      </c>
      <c r="S1360">
        <v>8</v>
      </c>
      <c r="T1360" s="13">
        <f t="shared" si="23"/>
        <v>8</v>
      </c>
      <c r="U1360" t="s">
        <v>143</v>
      </c>
      <c r="V1360" s="15" t="s">
        <v>221</v>
      </c>
    </row>
    <row r="1361" spans="1:21" x14ac:dyDescent="0.3">
      <c r="A1361">
        <v>20</v>
      </c>
      <c r="B1361">
        <v>4</v>
      </c>
      <c r="C1361">
        <v>207732</v>
      </c>
      <c r="D1361" t="s">
        <v>58</v>
      </c>
      <c r="E1361" s="10">
        <v>44099</v>
      </c>
      <c r="F1361" t="s">
        <v>23</v>
      </c>
      <c r="G1361" s="3" t="s">
        <v>52</v>
      </c>
      <c r="H1361" t="s">
        <v>141</v>
      </c>
      <c r="S1361">
        <v>1</v>
      </c>
      <c r="T1361" s="13">
        <f t="shared" si="23"/>
        <v>1</v>
      </c>
      <c r="U1361" t="s">
        <v>143</v>
      </c>
    </row>
    <row r="1362" spans="1:21" x14ac:dyDescent="0.3">
      <c r="A1362">
        <v>20</v>
      </c>
      <c r="B1362">
        <v>4</v>
      </c>
      <c r="C1362">
        <v>207732</v>
      </c>
      <c r="D1362" t="s">
        <v>58</v>
      </c>
      <c r="E1362" s="10">
        <v>44099</v>
      </c>
      <c r="F1362" t="s">
        <v>23</v>
      </c>
      <c r="G1362" s="3" t="s">
        <v>52</v>
      </c>
      <c r="H1362" t="s">
        <v>38</v>
      </c>
      <c r="Q1362">
        <v>1</v>
      </c>
      <c r="T1362" s="13">
        <f t="shared" si="23"/>
        <v>1</v>
      </c>
      <c r="U1362" t="s">
        <v>144</v>
      </c>
    </row>
    <row r="1363" spans="1:21" x14ac:dyDescent="0.3">
      <c r="A1363">
        <v>20</v>
      </c>
      <c r="B1363">
        <v>4</v>
      </c>
      <c r="C1363">
        <v>207732</v>
      </c>
      <c r="D1363" t="s">
        <v>58</v>
      </c>
      <c r="E1363" s="10">
        <v>44099</v>
      </c>
      <c r="F1363" t="s">
        <v>23</v>
      </c>
      <c r="G1363" s="3" t="s">
        <v>87</v>
      </c>
      <c r="H1363" t="s">
        <v>25</v>
      </c>
      <c r="N1363">
        <v>1</v>
      </c>
      <c r="O1363">
        <v>16</v>
      </c>
      <c r="P1363">
        <v>80</v>
      </c>
      <c r="T1363" s="13">
        <f t="shared" si="23"/>
        <v>97</v>
      </c>
      <c r="U1363" t="s">
        <v>144</v>
      </c>
    </row>
    <row r="1364" spans="1:21" x14ac:dyDescent="0.3">
      <c r="A1364">
        <v>20</v>
      </c>
      <c r="B1364">
        <v>4</v>
      </c>
      <c r="C1364">
        <v>207732</v>
      </c>
      <c r="D1364" t="s">
        <v>58</v>
      </c>
      <c r="E1364" s="10">
        <v>44099</v>
      </c>
      <c r="F1364" t="s">
        <v>23</v>
      </c>
      <c r="G1364" s="3" t="s">
        <v>87</v>
      </c>
      <c r="H1364" t="s">
        <v>27</v>
      </c>
      <c r="P1364">
        <v>1</v>
      </c>
      <c r="T1364" s="13">
        <f t="shared" si="23"/>
        <v>1</v>
      </c>
      <c r="U1364" t="s">
        <v>144</v>
      </c>
    </row>
    <row r="1365" spans="1:21" x14ac:dyDescent="0.3">
      <c r="A1365">
        <v>20</v>
      </c>
      <c r="B1365">
        <v>4</v>
      </c>
      <c r="C1365">
        <v>207732</v>
      </c>
      <c r="D1365" t="s">
        <v>58</v>
      </c>
      <c r="E1365" s="10">
        <v>44099</v>
      </c>
      <c r="F1365" t="s">
        <v>23</v>
      </c>
      <c r="G1365" s="3" t="s">
        <v>87</v>
      </c>
      <c r="H1365" t="s">
        <v>186</v>
      </c>
      <c r="O1365">
        <v>1</v>
      </c>
      <c r="T1365" s="13">
        <f t="shared" si="23"/>
        <v>1</v>
      </c>
      <c r="U1365" t="s">
        <v>144</v>
      </c>
    </row>
    <row r="1366" spans="1:21" x14ac:dyDescent="0.3">
      <c r="A1366">
        <v>20</v>
      </c>
      <c r="B1366">
        <v>4</v>
      </c>
      <c r="C1366">
        <v>207732</v>
      </c>
      <c r="D1366" t="s">
        <v>58</v>
      </c>
      <c r="E1366" s="10">
        <v>44099</v>
      </c>
      <c r="F1366" t="s">
        <v>23</v>
      </c>
      <c r="G1366" s="3" t="s">
        <v>77</v>
      </c>
      <c r="H1366" t="s">
        <v>192</v>
      </c>
      <c r="S1366">
        <v>2</v>
      </c>
      <c r="T1366" s="13">
        <f t="shared" si="23"/>
        <v>2</v>
      </c>
      <c r="U1366" t="s">
        <v>144</v>
      </c>
    </row>
    <row r="1367" spans="1:21" x14ac:dyDescent="0.3">
      <c r="A1367">
        <v>20</v>
      </c>
      <c r="B1367">
        <v>4</v>
      </c>
      <c r="C1367">
        <v>207732</v>
      </c>
      <c r="D1367" t="s">
        <v>58</v>
      </c>
      <c r="E1367" s="10">
        <v>44099</v>
      </c>
      <c r="F1367" t="s">
        <v>23</v>
      </c>
      <c r="G1367" s="3" t="s">
        <v>77</v>
      </c>
      <c r="H1367" t="s">
        <v>165</v>
      </c>
      <c r="S1367">
        <v>1</v>
      </c>
      <c r="T1367" s="13">
        <f t="shared" si="23"/>
        <v>1</v>
      </c>
      <c r="U1367" t="s">
        <v>144</v>
      </c>
    </row>
    <row r="1368" spans="1:21" x14ac:dyDescent="0.3">
      <c r="A1368">
        <v>20</v>
      </c>
      <c r="B1368">
        <v>4</v>
      </c>
      <c r="C1368">
        <v>207732</v>
      </c>
      <c r="D1368" t="s">
        <v>58</v>
      </c>
      <c r="E1368" s="10">
        <v>44099</v>
      </c>
      <c r="F1368" t="s">
        <v>23</v>
      </c>
      <c r="G1368" s="3" t="s">
        <v>77</v>
      </c>
      <c r="H1368" t="s">
        <v>30</v>
      </c>
      <c r="J1368">
        <v>11</v>
      </c>
      <c r="T1368" s="13">
        <f t="shared" si="23"/>
        <v>11</v>
      </c>
      <c r="U1368" t="s">
        <v>144</v>
      </c>
    </row>
    <row r="1369" spans="1:21" x14ac:dyDescent="0.3">
      <c r="A1369">
        <v>20</v>
      </c>
      <c r="B1369">
        <v>4</v>
      </c>
      <c r="C1369">
        <v>207732</v>
      </c>
      <c r="D1369" t="s">
        <v>58</v>
      </c>
      <c r="E1369" s="10">
        <v>44099</v>
      </c>
      <c r="F1369" t="s">
        <v>23</v>
      </c>
      <c r="G1369" s="3" t="s">
        <v>77</v>
      </c>
      <c r="H1369" t="s">
        <v>66</v>
      </c>
      <c r="J1369">
        <v>8</v>
      </c>
      <c r="O1369">
        <v>4</v>
      </c>
      <c r="T1369" s="13">
        <f t="shared" si="23"/>
        <v>12</v>
      </c>
      <c r="U1369" t="s">
        <v>144</v>
      </c>
    </row>
    <row r="1370" spans="1:21" x14ac:dyDescent="0.3">
      <c r="A1370">
        <v>20</v>
      </c>
      <c r="B1370">
        <v>4</v>
      </c>
      <c r="C1370">
        <v>207732</v>
      </c>
      <c r="D1370" t="s">
        <v>58</v>
      </c>
      <c r="E1370" s="10">
        <v>44099</v>
      </c>
      <c r="F1370" t="s">
        <v>23</v>
      </c>
      <c r="G1370" s="3" t="s">
        <v>77</v>
      </c>
      <c r="H1370" t="s">
        <v>37</v>
      </c>
      <c r="O1370">
        <v>1</v>
      </c>
      <c r="P1370">
        <v>3</v>
      </c>
      <c r="Q1370">
        <v>5</v>
      </c>
      <c r="T1370" s="13">
        <f t="shared" si="23"/>
        <v>9</v>
      </c>
      <c r="U1370" t="s">
        <v>144</v>
      </c>
    </row>
    <row r="1371" spans="1:21" x14ac:dyDescent="0.3">
      <c r="A1371">
        <v>20</v>
      </c>
      <c r="B1371">
        <v>4</v>
      </c>
      <c r="C1371">
        <v>207732</v>
      </c>
      <c r="D1371" t="s">
        <v>58</v>
      </c>
      <c r="E1371" s="10">
        <v>44099</v>
      </c>
      <c r="F1371" t="s">
        <v>23</v>
      </c>
      <c r="G1371" s="3" t="s">
        <v>77</v>
      </c>
      <c r="H1371" t="s">
        <v>32</v>
      </c>
      <c r="O1371">
        <v>13</v>
      </c>
      <c r="T1371" s="13">
        <f t="shared" si="23"/>
        <v>13</v>
      </c>
      <c r="U1371" t="s">
        <v>144</v>
      </c>
    </row>
    <row r="1372" spans="1:21" x14ac:dyDescent="0.3">
      <c r="A1372">
        <v>20</v>
      </c>
      <c r="B1372">
        <v>4</v>
      </c>
      <c r="C1372">
        <v>207732</v>
      </c>
      <c r="D1372" t="s">
        <v>58</v>
      </c>
      <c r="E1372" s="10">
        <v>44099</v>
      </c>
      <c r="F1372" t="s">
        <v>23</v>
      </c>
      <c r="G1372" s="3" t="s">
        <v>77</v>
      </c>
      <c r="H1372" t="s">
        <v>31</v>
      </c>
      <c r="P1372">
        <v>1</v>
      </c>
      <c r="Q1372">
        <v>4</v>
      </c>
      <c r="R1372">
        <v>1</v>
      </c>
      <c r="T1372" s="13">
        <f t="shared" si="23"/>
        <v>6</v>
      </c>
      <c r="U1372" t="s">
        <v>144</v>
      </c>
    </row>
    <row r="1373" spans="1:21" x14ac:dyDescent="0.3">
      <c r="A1373">
        <v>20</v>
      </c>
      <c r="B1373">
        <v>4</v>
      </c>
      <c r="C1373">
        <v>207732</v>
      </c>
      <c r="D1373" t="s">
        <v>58</v>
      </c>
      <c r="E1373" s="10">
        <v>44099</v>
      </c>
      <c r="F1373" t="s">
        <v>23</v>
      </c>
      <c r="G1373" s="3" t="s">
        <v>77</v>
      </c>
      <c r="H1373" t="s">
        <v>38</v>
      </c>
      <c r="P1373">
        <v>18</v>
      </c>
      <c r="Q1373">
        <v>33</v>
      </c>
      <c r="R1373">
        <v>18</v>
      </c>
      <c r="T1373" s="13">
        <f t="shared" si="23"/>
        <v>69</v>
      </c>
      <c r="U1373" t="s">
        <v>144</v>
      </c>
    </row>
    <row r="1374" spans="1:21" x14ac:dyDescent="0.3">
      <c r="A1374">
        <v>20</v>
      </c>
      <c r="B1374">
        <v>4</v>
      </c>
      <c r="C1374">
        <v>207732</v>
      </c>
      <c r="D1374" t="s">
        <v>58</v>
      </c>
      <c r="E1374" s="10">
        <v>44099</v>
      </c>
      <c r="F1374" t="s">
        <v>23</v>
      </c>
      <c r="G1374" s="3" t="s">
        <v>77</v>
      </c>
      <c r="H1374" t="s">
        <v>34</v>
      </c>
      <c r="P1374">
        <v>6</v>
      </c>
      <c r="R1374">
        <v>3</v>
      </c>
      <c r="T1374" s="13">
        <f t="shared" si="23"/>
        <v>9</v>
      </c>
      <c r="U1374" t="s">
        <v>144</v>
      </c>
    </row>
    <row r="1375" spans="1:21" x14ac:dyDescent="0.3">
      <c r="A1375">
        <v>20</v>
      </c>
      <c r="B1375">
        <v>4</v>
      </c>
      <c r="C1375">
        <v>207732</v>
      </c>
      <c r="D1375" t="s">
        <v>58</v>
      </c>
      <c r="E1375" s="10">
        <v>44099</v>
      </c>
      <c r="F1375" t="s">
        <v>23</v>
      </c>
      <c r="G1375" s="3" t="s">
        <v>77</v>
      </c>
      <c r="H1375" t="s">
        <v>41</v>
      </c>
      <c r="S1375">
        <v>10</v>
      </c>
      <c r="T1375" s="13">
        <f t="shared" si="23"/>
        <v>10</v>
      </c>
      <c r="U1375" t="s">
        <v>144</v>
      </c>
    </row>
    <row r="1376" spans="1:21" x14ac:dyDescent="0.3">
      <c r="A1376">
        <v>20</v>
      </c>
      <c r="B1376">
        <v>4</v>
      </c>
      <c r="C1376">
        <v>207732</v>
      </c>
      <c r="D1376" t="s">
        <v>58</v>
      </c>
      <c r="E1376" s="10">
        <v>44099</v>
      </c>
      <c r="F1376" t="s">
        <v>23</v>
      </c>
      <c r="G1376" s="3" t="s">
        <v>77</v>
      </c>
      <c r="H1376" t="s">
        <v>51</v>
      </c>
      <c r="S1376">
        <v>2</v>
      </c>
      <c r="T1376" s="13">
        <f t="shared" si="23"/>
        <v>2</v>
      </c>
      <c r="U1376" t="s">
        <v>144</v>
      </c>
    </row>
    <row r="1377" spans="1:22" x14ac:dyDescent="0.3">
      <c r="A1377">
        <v>20</v>
      </c>
      <c r="B1377">
        <v>4</v>
      </c>
      <c r="C1377">
        <v>207732</v>
      </c>
      <c r="D1377" t="s">
        <v>58</v>
      </c>
      <c r="E1377" s="10">
        <v>44099</v>
      </c>
      <c r="F1377" t="s">
        <v>23</v>
      </c>
      <c r="G1377" s="3" t="s">
        <v>77</v>
      </c>
      <c r="H1377" t="s">
        <v>42</v>
      </c>
      <c r="S1377">
        <v>1</v>
      </c>
      <c r="T1377" s="13">
        <f t="shared" si="23"/>
        <v>1</v>
      </c>
      <c r="U1377" t="s">
        <v>144</v>
      </c>
    </row>
    <row r="1378" spans="1:22" x14ac:dyDescent="0.3">
      <c r="A1378">
        <v>20</v>
      </c>
      <c r="B1378">
        <v>4</v>
      </c>
      <c r="C1378">
        <v>207732</v>
      </c>
      <c r="D1378" t="s">
        <v>58</v>
      </c>
      <c r="E1378" s="10">
        <v>44099</v>
      </c>
      <c r="F1378" t="s">
        <v>23</v>
      </c>
      <c r="G1378" s="3" t="s">
        <v>77</v>
      </c>
      <c r="H1378" t="s">
        <v>43</v>
      </c>
      <c r="I1378">
        <v>2</v>
      </c>
      <c r="K1378">
        <v>5</v>
      </c>
      <c r="Q1378">
        <v>27</v>
      </c>
      <c r="T1378" s="13">
        <f t="shared" si="23"/>
        <v>34</v>
      </c>
      <c r="U1378" t="s">
        <v>144</v>
      </c>
    </row>
    <row r="1379" spans="1:22" x14ac:dyDescent="0.3">
      <c r="A1379">
        <v>20</v>
      </c>
      <c r="B1379">
        <v>4</v>
      </c>
      <c r="C1379">
        <v>207732</v>
      </c>
      <c r="D1379" t="s">
        <v>58</v>
      </c>
      <c r="E1379" s="10">
        <v>44099</v>
      </c>
      <c r="F1379" t="s">
        <v>23</v>
      </c>
      <c r="G1379" s="3" t="s">
        <v>77</v>
      </c>
      <c r="H1379" t="s">
        <v>45</v>
      </c>
      <c r="I1379">
        <v>1</v>
      </c>
      <c r="K1379">
        <v>5</v>
      </c>
      <c r="T1379" s="13">
        <f t="shared" si="23"/>
        <v>6</v>
      </c>
      <c r="U1379" t="s">
        <v>144</v>
      </c>
    </row>
    <row r="1380" spans="1:22" x14ac:dyDescent="0.3">
      <c r="A1380">
        <v>20</v>
      </c>
      <c r="B1380">
        <v>4</v>
      </c>
      <c r="C1380">
        <v>207732</v>
      </c>
      <c r="D1380" t="s">
        <v>58</v>
      </c>
      <c r="E1380" s="10">
        <v>44099</v>
      </c>
      <c r="F1380" t="s">
        <v>23</v>
      </c>
      <c r="G1380" s="3" t="s">
        <v>77</v>
      </c>
      <c r="H1380" t="s">
        <v>46</v>
      </c>
      <c r="Q1380">
        <v>18</v>
      </c>
      <c r="R1380">
        <v>1</v>
      </c>
      <c r="T1380" s="13">
        <f t="shared" si="23"/>
        <v>19</v>
      </c>
      <c r="U1380" t="s">
        <v>144</v>
      </c>
    </row>
    <row r="1381" spans="1:22" s="5" customFormat="1" ht="16.2" thickBot="1" x14ac:dyDescent="0.35">
      <c r="A1381" s="5">
        <v>20</v>
      </c>
      <c r="B1381" s="5">
        <v>4</v>
      </c>
      <c r="C1381" s="5">
        <v>207732</v>
      </c>
      <c r="D1381" s="5" t="s">
        <v>58</v>
      </c>
      <c r="E1381" s="11">
        <v>44099</v>
      </c>
      <c r="F1381" s="5" t="s">
        <v>23</v>
      </c>
      <c r="G1381" s="6" t="s">
        <v>77</v>
      </c>
      <c r="H1381" s="5" t="s">
        <v>74</v>
      </c>
      <c r="Q1381" s="5">
        <v>2</v>
      </c>
      <c r="T1381" s="12">
        <f t="shared" si="23"/>
        <v>2</v>
      </c>
      <c r="U1381" s="5" t="s">
        <v>144</v>
      </c>
      <c r="V1381" s="14"/>
    </row>
    <row r="1382" spans="1:22" x14ac:dyDescent="0.3">
      <c r="A1382">
        <v>20</v>
      </c>
      <c r="B1382">
        <v>5</v>
      </c>
      <c r="C1382">
        <v>207733</v>
      </c>
      <c r="D1382" t="s">
        <v>58</v>
      </c>
      <c r="E1382" s="10">
        <v>44099</v>
      </c>
      <c r="F1382" t="s">
        <v>23</v>
      </c>
      <c r="G1382" s="3" t="s">
        <v>28</v>
      </c>
      <c r="H1382" t="s">
        <v>25</v>
      </c>
      <c r="N1382">
        <v>10</v>
      </c>
      <c r="O1382">
        <v>41</v>
      </c>
      <c r="P1382">
        <v>17</v>
      </c>
      <c r="Q1382">
        <v>1</v>
      </c>
      <c r="T1382" s="13">
        <f t="shared" si="23"/>
        <v>69</v>
      </c>
      <c r="U1382" t="s">
        <v>144</v>
      </c>
      <c r="V1382" s="15" t="s">
        <v>221</v>
      </c>
    </row>
    <row r="1383" spans="1:22" x14ac:dyDescent="0.3">
      <c r="A1383">
        <v>20</v>
      </c>
      <c r="B1383">
        <v>5</v>
      </c>
      <c r="C1383">
        <v>207733</v>
      </c>
      <c r="D1383" t="s">
        <v>58</v>
      </c>
      <c r="E1383" s="10">
        <v>44099</v>
      </c>
      <c r="F1383" t="s">
        <v>23</v>
      </c>
      <c r="G1383" s="3" t="s">
        <v>28</v>
      </c>
      <c r="H1383" t="s">
        <v>27</v>
      </c>
      <c r="P1383">
        <v>1</v>
      </c>
      <c r="T1383" s="13">
        <f t="shared" si="23"/>
        <v>1</v>
      </c>
      <c r="U1383" t="s">
        <v>144</v>
      </c>
    </row>
    <row r="1384" spans="1:22" x14ac:dyDescent="0.3">
      <c r="A1384">
        <v>20</v>
      </c>
      <c r="B1384">
        <v>5</v>
      </c>
      <c r="C1384">
        <v>207733</v>
      </c>
      <c r="D1384" t="s">
        <v>58</v>
      </c>
      <c r="E1384" s="10">
        <v>44099</v>
      </c>
      <c r="F1384" t="s">
        <v>23</v>
      </c>
      <c r="G1384" s="3" t="s">
        <v>90</v>
      </c>
      <c r="H1384" t="s">
        <v>33</v>
      </c>
      <c r="Q1384">
        <v>1</v>
      </c>
      <c r="T1384" s="13">
        <f t="shared" si="23"/>
        <v>1</v>
      </c>
      <c r="U1384" t="s">
        <v>144</v>
      </c>
    </row>
    <row r="1385" spans="1:22" x14ac:dyDescent="0.3">
      <c r="A1385">
        <v>20</v>
      </c>
      <c r="B1385">
        <v>5</v>
      </c>
      <c r="C1385">
        <v>207733</v>
      </c>
      <c r="D1385" t="s">
        <v>58</v>
      </c>
      <c r="E1385" s="10">
        <v>44099</v>
      </c>
      <c r="F1385" t="s">
        <v>23</v>
      </c>
      <c r="G1385" s="3" t="s">
        <v>90</v>
      </c>
      <c r="H1385" t="s">
        <v>66</v>
      </c>
      <c r="J1385">
        <v>3</v>
      </c>
      <c r="T1385" s="13">
        <f t="shared" si="23"/>
        <v>3</v>
      </c>
      <c r="U1385" t="s">
        <v>144</v>
      </c>
    </row>
    <row r="1386" spans="1:22" x14ac:dyDescent="0.3">
      <c r="A1386">
        <v>20</v>
      </c>
      <c r="B1386">
        <v>5</v>
      </c>
      <c r="C1386">
        <v>207733</v>
      </c>
      <c r="D1386" t="s">
        <v>58</v>
      </c>
      <c r="E1386" s="10">
        <v>44099</v>
      </c>
      <c r="F1386" t="s">
        <v>23</v>
      </c>
      <c r="G1386" s="3" t="s">
        <v>90</v>
      </c>
      <c r="H1386" t="s">
        <v>30</v>
      </c>
      <c r="J1386">
        <v>48</v>
      </c>
      <c r="T1386" s="13">
        <f t="shared" si="23"/>
        <v>48</v>
      </c>
      <c r="U1386" t="s">
        <v>144</v>
      </c>
    </row>
    <row r="1387" spans="1:22" x14ac:dyDescent="0.3">
      <c r="A1387">
        <v>20</v>
      </c>
      <c r="B1387">
        <v>5</v>
      </c>
      <c r="C1387">
        <v>207733</v>
      </c>
      <c r="D1387" t="s">
        <v>58</v>
      </c>
      <c r="E1387" s="10">
        <v>44099</v>
      </c>
      <c r="F1387" t="s">
        <v>23</v>
      </c>
      <c r="G1387" s="3" t="s">
        <v>90</v>
      </c>
      <c r="H1387" t="s">
        <v>37</v>
      </c>
      <c r="O1387">
        <v>8</v>
      </c>
      <c r="P1387">
        <v>10</v>
      </c>
      <c r="Q1387">
        <v>15</v>
      </c>
      <c r="R1387">
        <v>2</v>
      </c>
      <c r="T1387" s="13">
        <f t="shared" si="23"/>
        <v>35</v>
      </c>
      <c r="U1387" t="s">
        <v>144</v>
      </c>
    </row>
    <row r="1388" spans="1:22" x14ac:dyDescent="0.3">
      <c r="A1388">
        <v>20</v>
      </c>
      <c r="B1388">
        <v>5</v>
      </c>
      <c r="C1388">
        <v>207733</v>
      </c>
      <c r="D1388" t="s">
        <v>58</v>
      </c>
      <c r="E1388" s="10">
        <v>44099</v>
      </c>
      <c r="F1388" t="s">
        <v>23</v>
      </c>
      <c r="G1388" s="3" t="s">
        <v>90</v>
      </c>
      <c r="H1388" t="s">
        <v>32</v>
      </c>
      <c r="O1388">
        <v>45</v>
      </c>
      <c r="T1388" s="13">
        <f t="shared" si="23"/>
        <v>45</v>
      </c>
      <c r="U1388" t="s">
        <v>144</v>
      </c>
    </row>
    <row r="1389" spans="1:22" x14ac:dyDescent="0.3">
      <c r="A1389">
        <v>20</v>
      </c>
      <c r="B1389">
        <v>5</v>
      </c>
      <c r="C1389">
        <v>207733</v>
      </c>
      <c r="D1389" t="s">
        <v>58</v>
      </c>
      <c r="E1389" s="10">
        <v>44099</v>
      </c>
      <c r="F1389" t="s">
        <v>23</v>
      </c>
      <c r="G1389" s="3" t="s">
        <v>90</v>
      </c>
      <c r="H1389" t="s">
        <v>38</v>
      </c>
      <c r="P1389">
        <v>33</v>
      </c>
      <c r="Q1389">
        <v>11</v>
      </c>
      <c r="R1389">
        <v>8</v>
      </c>
      <c r="T1389" s="13">
        <f t="shared" si="23"/>
        <v>52</v>
      </c>
      <c r="U1389" t="s">
        <v>144</v>
      </c>
    </row>
    <row r="1390" spans="1:22" x14ac:dyDescent="0.3">
      <c r="A1390">
        <v>20</v>
      </c>
      <c r="B1390">
        <v>5</v>
      </c>
      <c r="C1390">
        <v>207733</v>
      </c>
      <c r="D1390" t="s">
        <v>58</v>
      </c>
      <c r="E1390" s="10">
        <v>44099</v>
      </c>
      <c r="F1390" t="s">
        <v>23</v>
      </c>
      <c r="G1390" s="3" t="s">
        <v>90</v>
      </c>
      <c r="H1390" t="s">
        <v>31</v>
      </c>
      <c r="Q1390">
        <v>4</v>
      </c>
      <c r="T1390" s="13">
        <f t="shared" si="23"/>
        <v>4</v>
      </c>
      <c r="U1390" t="s">
        <v>144</v>
      </c>
    </row>
    <row r="1391" spans="1:22" x14ac:dyDescent="0.3">
      <c r="A1391">
        <v>20</v>
      </c>
      <c r="B1391">
        <v>5</v>
      </c>
      <c r="C1391">
        <v>207733</v>
      </c>
      <c r="D1391" t="s">
        <v>58</v>
      </c>
      <c r="E1391" s="10">
        <v>44099</v>
      </c>
      <c r="F1391" t="s">
        <v>23</v>
      </c>
      <c r="G1391" s="3" t="s">
        <v>90</v>
      </c>
      <c r="H1391" t="s">
        <v>64</v>
      </c>
      <c r="S1391">
        <v>2</v>
      </c>
      <c r="T1391" s="13">
        <f t="shared" si="23"/>
        <v>2</v>
      </c>
      <c r="U1391" t="s">
        <v>144</v>
      </c>
    </row>
    <row r="1392" spans="1:22" x14ac:dyDescent="0.3">
      <c r="A1392">
        <v>20</v>
      </c>
      <c r="B1392">
        <v>5</v>
      </c>
      <c r="C1392">
        <v>207733</v>
      </c>
      <c r="D1392" t="s">
        <v>58</v>
      </c>
      <c r="E1392" s="10">
        <v>44099</v>
      </c>
      <c r="F1392" t="s">
        <v>23</v>
      </c>
      <c r="G1392" s="3" t="s">
        <v>90</v>
      </c>
      <c r="H1392" t="s">
        <v>41</v>
      </c>
      <c r="S1392">
        <v>9</v>
      </c>
      <c r="T1392" s="13">
        <f t="shared" si="23"/>
        <v>9</v>
      </c>
      <c r="U1392" t="s">
        <v>144</v>
      </c>
    </row>
    <row r="1393" spans="1:22" x14ac:dyDescent="0.3">
      <c r="A1393">
        <v>20</v>
      </c>
      <c r="B1393">
        <v>5</v>
      </c>
      <c r="C1393">
        <v>207733</v>
      </c>
      <c r="D1393" t="s">
        <v>58</v>
      </c>
      <c r="E1393" s="10">
        <v>44099</v>
      </c>
      <c r="F1393" t="s">
        <v>23</v>
      </c>
      <c r="G1393" s="3" t="s">
        <v>90</v>
      </c>
      <c r="H1393" t="s">
        <v>49</v>
      </c>
      <c r="S1393">
        <v>1</v>
      </c>
      <c r="T1393" s="13">
        <f t="shared" si="23"/>
        <v>1</v>
      </c>
      <c r="U1393" t="s">
        <v>144</v>
      </c>
    </row>
    <row r="1394" spans="1:22" x14ac:dyDescent="0.3">
      <c r="A1394">
        <v>20</v>
      </c>
      <c r="B1394">
        <v>5</v>
      </c>
      <c r="C1394">
        <v>207733</v>
      </c>
      <c r="D1394" t="s">
        <v>58</v>
      </c>
      <c r="E1394" s="10">
        <v>44099</v>
      </c>
      <c r="F1394" t="s">
        <v>23</v>
      </c>
      <c r="G1394" s="3" t="s">
        <v>90</v>
      </c>
      <c r="H1394" t="s">
        <v>163</v>
      </c>
      <c r="S1394">
        <v>2</v>
      </c>
      <c r="T1394" s="13">
        <f t="shared" si="23"/>
        <v>2</v>
      </c>
      <c r="U1394" t="s">
        <v>144</v>
      </c>
    </row>
    <row r="1395" spans="1:22" x14ac:dyDescent="0.3">
      <c r="A1395">
        <v>20</v>
      </c>
      <c r="B1395">
        <v>5</v>
      </c>
      <c r="C1395">
        <v>207733</v>
      </c>
      <c r="D1395" t="s">
        <v>58</v>
      </c>
      <c r="E1395" s="10">
        <v>44099</v>
      </c>
      <c r="F1395" t="s">
        <v>23</v>
      </c>
      <c r="G1395" s="3" t="s">
        <v>90</v>
      </c>
      <c r="H1395" t="s">
        <v>45</v>
      </c>
      <c r="I1395">
        <v>1</v>
      </c>
      <c r="K1395">
        <v>12</v>
      </c>
      <c r="T1395" s="13">
        <f t="shared" si="23"/>
        <v>13</v>
      </c>
      <c r="U1395" t="s">
        <v>144</v>
      </c>
    </row>
    <row r="1396" spans="1:22" s="5" customFormat="1" ht="16.2" thickBot="1" x14ac:dyDescent="0.35">
      <c r="A1396" s="5">
        <v>20</v>
      </c>
      <c r="B1396" s="5">
        <v>5</v>
      </c>
      <c r="C1396" s="5">
        <v>207733</v>
      </c>
      <c r="D1396" s="5" t="s">
        <v>58</v>
      </c>
      <c r="E1396" s="11">
        <v>44099</v>
      </c>
      <c r="F1396" s="5" t="s">
        <v>23</v>
      </c>
      <c r="G1396" s="6" t="s">
        <v>90</v>
      </c>
      <c r="H1396" s="5" t="s">
        <v>46</v>
      </c>
      <c r="Q1396" s="5">
        <v>19</v>
      </c>
      <c r="R1396" s="5">
        <v>1</v>
      </c>
      <c r="T1396" s="12">
        <f t="shared" si="23"/>
        <v>20</v>
      </c>
      <c r="U1396" s="5" t="s">
        <v>144</v>
      </c>
      <c r="V1396" s="14"/>
    </row>
    <row r="1397" spans="1:22" x14ac:dyDescent="0.3">
      <c r="A1397">
        <v>21</v>
      </c>
      <c r="B1397">
        <v>1</v>
      </c>
      <c r="C1397">
        <v>207734</v>
      </c>
      <c r="D1397" t="s">
        <v>58</v>
      </c>
      <c r="E1397" s="10">
        <v>44099</v>
      </c>
      <c r="F1397" t="s">
        <v>23</v>
      </c>
      <c r="G1397" s="3" t="s">
        <v>54</v>
      </c>
      <c r="H1397" t="s">
        <v>25</v>
      </c>
      <c r="O1397">
        <v>8</v>
      </c>
      <c r="P1397">
        <v>132</v>
      </c>
      <c r="Q1397">
        <v>1</v>
      </c>
      <c r="R1397">
        <v>1</v>
      </c>
      <c r="T1397" s="13">
        <f t="shared" ref="T1397:T1460" si="24">SUM(I1397:S1397)</f>
        <v>142</v>
      </c>
      <c r="U1397" t="s">
        <v>26</v>
      </c>
    </row>
    <row r="1398" spans="1:22" x14ac:dyDescent="0.3">
      <c r="A1398">
        <v>21</v>
      </c>
      <c r="B1398">
        <v>1</v>
      </c>
      <c r="C1398">
        <v>207734</v>
      </c>
      <c r="D1398" t="s">
        <v>58</v>
      </c>
      <c r="E1398" s="10">
        <v>44099</v>
      </c>
      <c r="F1398" t="s">
        <v>23</v>
      </c>
      <c r="G1398" s="3" t="s">
        <v>54</v>
      </c>
      <c r="H1398" t="s">
        <v>27</v>
      </c>
      <c r="P1398">
        <v>2</v>
      </c>
      <c r="T1398" s="13">
        <f t="shared" si="24"/>
        <v>2</v>
      </c>
      <c r="U1398" t="s">
        <v>26</v>
      </c>
    </row>
    <row r="1399" spans="1:22" x14ac:dyDescent="0.3">
      <c r="A1399">
        <v>21</v>
      </c>
      <c r="B1399">
        <v>1</v>
      </c>
      <c r="C1399">
        <v>207734</v>
      </c>
      <c r="D1399" t="s">
        <v>58</v>
      </c>
      <c r="E1399" s="10">
        <v>44099</v>
      </c>
      <c r="F1399" t="s">
        <v>23</v>
      </c>
      <c r="G1399" s="3" t="s">
        <v>54</v>
      </c>
      <c r="H1399" t="s">
        <v>60</v>
      </c>
      <c r="S1399">
        <v>38</v>
      </c>
      <c r="T1399" s="13">
        <f t="shared" si="24"/>
        <v>38</v>
      </c>
      <c r="U1399" t="s">
        <v>26</v>
      </c>
    </row>
    <row r="1400" spans="1:22" x14ac:dyDescent="0.3">
      <c r="A1400">
        <v>21</v>
      </c>
      <c r="B1400">
        <v>1</v>
      </c>
      <c r="C1400">
        <v>207734</v>
      </c>
      <c r="D1400" t="s">
        <v>58</v>
      </c>
      <c r="E1400" s="10">
        <v>44099</v>
      </c>
      <c r="F1400" t="s">
        <v>23</v>
      </c>
      <c r="G1400" s="3" t="s">
        <v>54</v>
      </c>
      <c r="H1400" t="s">
        <v>274</v>
      </c>
      <c r="S1400">
        <v>4</v>
      </c>
      <c r="T1400" s="13">
        <f t="shared" si="24"/>
        <v>4</v>
      </c>
      <c r="U1400" t="s">
        <v>26</v>
      </c>
    </row>
    <row r="1401" spans="1:22" x14ac:dyDescent="0.3">
      <c r="A1401">
        <v>21</v>
      </c>
      <c r="B1401">
        <v>1</v>
      </c>
      <c r="C1401">
        <v>207734</v>
      </c>
      <c r="D1401" t="s">
        <v>58</v>
      </c>
      <c r="E1401" s="10">
        <v>44099</v>
      </c>
      <c r="F1401" t="s">
        <v>23</v>
      </c>
      <c r="G1401" s="3" t="s">
        <v>54</v>
      </c>
      <c r="H1401" t="s">
        <v>34</v>
      </c>
      <c r="Q1401">
        <v>14</v>
      </c>
      <c r="R1401">
        <v>6</v>
      </c>
      <c r="T1401" s="13">
        <f t="shared" si="24"/>
        <v>20</v>
      </c>
      <c r="U1401" t="s">
        <v>26</v>
      </c>
    </row>
    <row r="1402" spans="1:22" x14ac:dyDescent="0.3">
      <c r="A1402">
        <v>21</v>
      </c>
      <c r="B1402">
        <v>1</v>
      </c>
      <c r="C1402">
        <v>207734</v>
      </c>
      <c r="D1402" t="s">
        <v>58</v>
      </c>
      <c r="E1402" s="10">
        <v>44099</v>
      </c>
      <c r="F1402" t="s">
        <v>23</v>
      </c>
      <c r="G1402" s="3" t="s">
        <v>54</v>
      </c>
      <c r="H1402" t="s">
        <v>98</v>
      </c>
      <c r="Q1402">
        <v>1</v>
      </c>
      <c r="T1402" s="13">
        <f t="shared" si="24"/>
        <v>1</v>
      </c>
      <c r="U1402" t="s">
        <v>26</v>
      </c>
    </row>
    <row r="1403" spans="1:22" x14ac:dyDescent="0.3">
      <c r="A1403">
        <v>21</v>
      </c>
      <c r="B1403">
        <v>1</v>
      </c>
      <c r="C1403">
        <v>207734</v>
      </c>
      <c r="D1403" t="s">
        <v>58</v>
      </c>
      <c r="E1403" s="10">
        <v>44099</v>
      </c>
      <c r="F1403" t="s">
        <v>23</v>
      </c>
      <c r="G1403" s="3" t="s">
        <v>54</v>
      </c>
      <c r="H1403" t="s">
        <v>38</v>
      </c>
      <c r="R1403">
        <v>1</v>
      </c>
      <c r="T1403" s="13">
        <f t="shared" si="24"/>
        <v>1</v>
      </c>
      <c r="U1403" t="s">
        <v>26</v>
      </c>
    </row>
    <row r="1404" spans="1:22" x14ac:dyDescent="0.3">
      <c r="A1404">
        <v>21</v>
      </c>
      <c r="B1404">
        <v>1</v>
      </c>
      <c r="C1404">
        <v>207734</v>
      </c>
      <c r="D1404" t="s">
        <v>58</v>
      </c>
      <c r="E1404" s="10">
        <v>44099</v>
      </c>
      <c r="F1404" t="s">
        <v>23</v>
      </c>
      <c r="G1404" s="3" t="s">
        <v>54</v>
      </c>
      <c r="H1404" t="s">
        <v>62</v>
      </c>
      <c r="P1404">
        <v>1</v>
      </c>
      <c r="T1404" s="13">
        <f t="shared" si="24"/>
        <v>1</v>
      </c>
      <c r="U1404" t="s">
        <v>26</v>
      </c>
    </row>
    <row r="1405" spans="1:22" x14ac:dyDescent="0.3">
      <c r="A1405">
        <v>21</v>
      </c>
      <c r="B1405">
        <v>1</v>
      </c>
      <c r="C1405">
        <v>207734</v>
      </c>
      <c r="D1405" t="s">
        <v>58</v>
      </c>
      <c r="E1405" s="10">
        <v>44099</v>
      </c>
      <c r="F1405" t="s">
        <v>23</v>
      </c>
      <c r="G1405" s="3" t="s">
        <v>54</v>
      </c>
      <c r="H1405" t="s">
        <v>43</v>
      </c>
      <c r="K1405">
        <v>1</v>
      </c>
      <c r="T1405" s="13">
        <f t="shared" si="24"/>
        <v>1</v>
      </c>
      <c r="U1405" t="s">
        <v>26</v>
      </c>
    </row>
    <row r="1406" spans="1:22" x14ac:dyDescent="0.3">
      <c r="A1406">
        <v>21</v>
      </c>
      <c r="B1406">
        <v>1</v>
      </c>
      <c r="C1406">
        <v>207734</v>
      </c>
      <c r="D1406" t="s">
        <v>58</v>
      </c>
      <c r="E1406" s="10">
        <v>44099</v>
      </c>
      <c r="F1406" t="s">
        <v>23</v>
      </c>
      <c r="G1406" s="3" t="s">
        <v>54</v>
      </c>
      <c r="H1406" t="s">
        <v>79</v>
      </c>
      <c r="S1406">
        <v>3</v>
      </c>
      <c r="T1406" s="13">
        <f t="shared" si="24"/>
        <v>3</v>
      </c>
      <c r="U1406" t="s">
        <v>26</v>
      </c>
    </row>
    <row r="1407" spans="1:22" x14ac:dyDescent="0.3">
      <c r="A1407">
        <v>21</v>
      </c>
      <c r="B1407">
        <v>1</v>
      </c>
      <c r="C1407">
        <v>207734</v>
      </c>
      <c r="D1407" t="s">
        <v>58</v>
      </c>
      <c r="E1407" s="10">
        <v>44099</v>
      </c>
      <c r="F1407" t="s">
        <v>23</v>
      </c>
      <c r="G1407" s="3" t="s">
        <v>54</v>
      </c>
      <c r="H1407" t="s">
        <v>51</v>
      </c>
      <c r="S1407">
        <v>4</v>
      </c>
      <c r="T1407" s="13">
        <f t="shared" si="24"/>
        <v>4</v>
      </c>
      <c r="U1407" t="s">
        <v>26</v>
      </c>
    </row>
    <row r="1408" spans="1:22" x14ac:dyDescent="0.3">
      <c r="A1408">
        <v>21</v>
      </c>
      <c r="B1408">
        <v>1</v>
      </c>
      <c r="C1408">
        <v>207734</v>
      </c>
      <c r="D1408" t="s">
        <v>58</v>
      </c>
      <c r="E1408" s="10">
        <v>44099</v>
      </c>
      <c r="F1408" t="s">
        <v>23</v>
      </c>
      <c r="G1408" s="3" t="s">
        <v>54</v>
      </c>
      <c r="H1408" t="s">
        <v>46</v>
      </c>
      <c r="R1408">
        <v>5</v>
      </c>
      <c r="T1408" s="13">
        <f t="shared" si="24"/>
        <v>5</v>
      </c>
      <c r="U1408" t="s">
        <v>26</v>
      </c>
    </row>
    <row r="1409" spans="1:22" x14ac:dyDescent="0.3">
      <c r="A1409">
        <v>21</v>
      </c>
      <c r="B1409">
        <v>1</v>
      </c>
      <c r="C1409">
        <v>207734</v>
      </c>
      <c r="D1409" t="s">
        <v>58</v>
      </c>
      <c r="E1409" s="10">
        <v>44099</v>
      </c>
      <c r="F1409" t="s">
        <v>23</v>
      </c>
      <c r="G1409" s="3" t="s">
        <v>54</v>
      </c>
      <c r="H1409" t="s">
        <v>45</v>
      </c>
      <c r="K1409">
        <v>5</v>
      </c>
      <c r="T1409" s="13">
        <f t="shared" si="24"/>
        <v>5</v>
      </c>
      <c r="U1409" t="s">
        <v>26</v>
      </c>
    </row>
    <row r="1410" spans="1:22" x14ac:dyDescent="0.3">
      <c r="A1410">
        <v>21</v>
      </c>
      <c r="B1410">
        <v>1</v>
      </c>
      <c r="C1410">
        <v>207734</v>
      </c>
      <c r="D1410" t="s">
        <v>58</v>
      </c>
      <c r="E1410" s="10">
        <v>44099</v>
      </c>
      <c r="F1410" t="s">
        <v>23</v>
      </c>
      <c r="G1410" s="3" t="s">
        <v>52</v>
      </c>
      <c r="H1410" t="s">
        <v>82</v>
      </c>
      <c r="S1410">
        <v>16</v>
      </c>
      <c r="T1410" s="13">
        <f t="shared" si="24"/>
        <v>16</v>
      </c>
      <c r="U1410" t="s">
        <v>53</v>
      </c>
    </row>
    <row r="1411" spans="1:22" x14ac:dyDescent="0.3">
      <c r="A1411">
        <v>21</v>
      </c>
      <c r="B1411">
        <v>1</v>
      </c>
      <c r="C1411">
        <v>207734</v>
      </c>
      <c r="D1411" t="s">
        <v>58</v>
      </c>
      <c r="E1411" s="10">
        <v>44099</v>
      </c>
      <c r="F1411" t="s">
        <v>23</v>
      </c>
      <c r="G1411" s="3" t="s">
        <v>52</v>
      </c>
      <c r="H1411" t="s">
        <v>25</v>
      </c>
      <c r="O1411">
        <v>2</v>
      </c>
      <c r="P1411">
        <v>5</v>
      </c>
      <c r="T1411" s="13">
        <f t="shared" si="24"/>
        <v>7</v>
      </c>
      <c r="U1411" t="s">
        <v>53</v>
      </c>
    </row>
    <row r="1412" spans="1:22" x14ac:dyDescent="0.3">
      <c r="A1412">
        <v>21</v>
      </c>
      <c r="B1412">
        <v>1</v>
      </c>
      <c r="C1412">
        <v>207734</v>
      </c>
      <c r="D1412" t="s">
        <v>58</v>
      </c>
      <c r="E1412" s="10">
        <v>44099</v>
      </c>
      <c r="F1412" t="s">
        <v>23</v>
      </c>
      <c r="G1412" s="3" t="s">
        <v>52</v>
      </c>
      <c r="H1412" t="s">
        <v>67</v>
      </c>
      <c r="P1412">
        <v>1</v>
      </c>
      <c r="R1412">
        <v>2</v>
      </c>
      <c r="T1412" s="13">
        <f t="shared" si="24"/>
        <v>3</v>
      </c>
      <c r="U1412" t="s">
        <v>53</v>
      </c>
    </row>
    <row r="1413" spans="1:22" x14ac:dyDescent="0.3">
      <c r="A1413">
        <v>21</v>
      </c>
      <c r="B1413">
        <v>1</v>
      </c>
      <c r="C1413">
        <v>207734</v>
      </c>
      <c r="D1413" t="s">
        <v>58</v>
      </c>
      <c r="E1413" s="10">
        <v>44099</v>
      </c>
      <c r="F1413" t="s">
        <v>23</v>
      </c>
      <c r="G1413" s="3" t="s">
        <v>52</v>
      </c>
      <c r="H1413" t="s">
        <v>60</v>
      </c>
      <c r="S1413">
        <v>4</v>
      </c>
      <c r="T1413" s="13">
        <f t="shared" si="24"/>
        <v>4</v>
      </c>
      <c r="U1413" t="s">
        <v>53</v>
      </c>
    </row>
    <row r="1414" spans="1:22" x14ac:dyDescent="0.3">
      <c r="A1414">
        <v>21</v>
      </c>
      <c r="B1414">
        <v>1</v>
      </c>
      <c r="C1414">
        <v>207734</v>
      </c>
      <c r="D1414" t="s">
        <v>58</v>
      </c>
      <c r="E1414" s="10">
        <v>44099</v>
      </c>
      <c r="F1414" t="s">
        <v>23</v>
      </c>
      <c r="G1414" s="3" t="s">
        <v>52</v>
      </c>
      <c r="H1414" t="s">
        <v>34</v>
      </c>
      <c r="Q1414">
        <v>1</v>
      </c>
      <c r="R1414">
        <v>1</v>
      </c>
      <c r="T1414" s="13">
        <f t="shared" si="24"/>
        <v>2</v>
      </c>
      <c r="U1414" t="s">
        <v>53</v>
      </c>
    </row>
    <row r="1415" spans="1:22" x14ac:dyDescent="0.3">
      <c r="A1415">
        <v>21</v>
      </c>
      <c r="B1415">
        <v>1</v>
      </c>
      <c r="C1415">
        <v>207734</v>
      </c>
      <c r="D1415" t="s">
        <v>58</v>
      </c>
      <c r="E1415" s="10">
        <v>44099</v>
      </c>
      <c r="F1415" t="s">
        <v>23</v>
      </c>
      <c r="G1415" s="3" t="s">
        <v>52</v>
      </c>
      <c r="H1415" t="s">
        <v>274</v>
      </c>
      <c r="S1415">
        <v>1</v>
      </c>
      <c r="T1415" s="13">
        <f t="shared" si="24"/>
        <v>1</v>
      </c>
      <c r="U1415" t="s">
        <v>53</v>
      </c>
    </row>
    <row r="1416" spans="1:22" x14ac:dyDescent="0.3">
      <c r="A1416">
        <v>21</v>
      </c>
      <c r="B1416">
        <v>1</v>
      </c>
      <c r="C1416">
        <v>207734</v>
      </c>
      <c r="D1416" t="s">
        <v>58</v>
      </c>
      <c r="E1416" s="10">
        <v>44099</v>
      </c>
      <c r="F1416" t="s">
        <v>23</v>
      </c>
      <c r="G1416" s="3" t="s">
        <v>52</v>
      </c>
      <c r="H1416" t="s">
        <v>180</v>
      </c>
      <c r="S1416">
        <v>5</v>
      </c>
      <c r="T1416" s="13">
        <f t="shared" si="24"/>
        <v>5</v>
      </c>
      <c r="U1416" t="s">
        <v>53</v>
      </c>
    </row>
    <row r="1417" spans="1:22" s="5" customFormat="1" ht="16.2" thickBot="1" x14ac:dyDescent="0.35">
      <c r="A1417" s="5">
        <v>21</v>
      </c>
      <c r="B1417" s="5">
        <v>1</v>
      </c>
      <c r="C1417" s="5">
        <v>207734</v>
      </c>
      <c r="D1417" s="5" t="s">
        <v>58</v>
      </c>
      <c r="E1417" s="11">
        <v>44099</v>
      </c>
      <c r="F1417" s="5" t="s">
        <v>23</v>
      </c>
      <c r="G1417" s="6" t="s">
        <v>52</v>
      </c>
      <c r="H1417" s="5" t="s">
        <v>65</v>
      </c>
      <c r="S1417" s="5">
        <v>1</v>
      </c>
      <c r="T1417" s="12">
        <f t="shared" si="24"/>
        <v>1</v>
      </c>
      <c r="U1417" s="5" t="s">
        <v>53</v>
      </c>
      <c r="V1417" s="14"/>
    </row>
    <row r="1418" spans="1:22" x14ac:dyDescent="0.3">
      <c r="A1418">
        <v>21</v>
      </c>
      <c r="B1418">
        <v>2</v>
      </c>
      <c r="C1418">
        <v>207735</v>
      </c>
      <c r="D1418" t="s">
        <v>58</v>
      </c>
      <c r="E1418" s="10">
        <v>44099</v>
      </c>
      <c r="F1418" t="s">
        <v>23</v>
      </c>
      <c r="G1418" s="3" t="s">
        <v>73</v>
      </c>
      <c r="H1418" t="s">
        <v>25</v>
      </c>
      <c r="O1418">
        <v>16</v>
      </c>
      <c r="P1418">
        <v>146</v>
      </c>
      <c r="Q1418">
        <v>7</v>
      </c>
      <c r="R1418">
        <v>1</v>
      </c>
      <c r="T1418" s="13">
        <f t="shared" si="24"/>
        <v>170</v>
      </c>
      <c r="U1418" t="s">
        <v>26</v>
      </c>
    </row>
    <row r="1419" spans="1:22" x14ac:dyDescent="0.3">
      <c r="A1419">
        <v>21</v>
      </c>
      <c r="B1419">
        <v>2</v>
      </c>
      <c r="C1419">
        <v>207735</v>
      </c>
      <c r="D1419" t="s">
        <v>58</v>
      </c>
      <c r="E1419" s="10">
        <v>44099</v>
      </c>
      <c r="F1419" t="s">
        <v>23</v>
      </c>
      <c r="G1419" s="3" t="s">
        <v>73</v>
      </c>
      <c r="H1419" t="s">
        <v>27</v>
      </c>
      <c r="O1419">
        <v>2</v>
      </c>
      <c r="P1419">
        <v>1</v>
      </c>
      <c r="T1419" s="13">
        <f t="shared" si="24"/>
        <v>3</v>
      </c>
      <c r="U1419" t="s">
        <v>26</v>
      </c>
    </row>
    <row r="1420" spans="1:22" x14ac:dyDescent="0.3">
      <c r="A1420">
        <v>21</v>
      </c>
      <c r="B1420">
        <v>2</v>
      </c>
      <c r="C1420">
        <v>207735</v>
      </c>
      <c r="D1420" t="s">
        <v>58</v>
      </c>
      <c r="E1420" s="10">
        <v>44099</v>
      </c>
      <c r="F1420" t="s">
        <v>23</v>
      </c>
      <c r="G1420" s="3" t="s">
        <v>73</v>
      </c>
      <c r="H1420" t="s">
        <v>60</v>
      </c>
      <c r="S1420">
        <v>2</v>
      </c>
      <c r="T1420" s="13">
        <f t="shared" si="24"/>
        <v>2</v>
      </c>
      <c r="U1420" t="s">
        <v>26</v>
      </c>
    </row>
    <row r="1421" spans="1:22" x14ac:dyDescent="0.3">
      <c r="A1421">
        <v>21</v>
      </c>
      <c r="B1421">
        <v>2</v>
      </c>
      <c r="C1421">
        <v>207735</v>
      </c>
      <c r="D1421" t="s">
        <v>58</v>
      </c>
      <c r="E1421" s="10">
        <v>44099</v>
      </c>
      <c r="F1421" t="s">
        <v>23</v>
      </c>
      <c r="G1421" s="3" t="s">
        <v>73</v>
      </c>
      <c r="H1421" t="s">
        <v>37</v>
      </c>
      <c r="Q1421">
        <v>3</v>
      </c>
      <c r="T1421" s="13">
        <f t="shared" si="24"/>
        <v>3</v>
      </c>
      <c r="U1421" t="s">
        <v>26</v>
      </c>
    </row>
    <row r="1422" spans="1:22" x14ac:dyDescent="0.3">
      <c r="A1422">
        <v>21</v>
      </c>
      <c r="B1422">
        <v>2</v>
      </c>
      <c r="C1422">
        <v>207735</v>
      </c>
      <c r="D1422" t="s">
        <v>58</v>
      </c>
      <c r="E1422" s="10">
        <v>44099</v>
      </c>
      <c r="F1422" t="s">
        <v>23</v>
      </c>
      <c r="G1422" s="3" t="s">
        <v>73</v>
      </c>
      <c r="H1422" t="s">
        <v>38</v>
      </c>
      <c r="P1422">
        <v>2</v>
      </c>
      <c r="Q1422">
        <v>1</v>
      </c>
      <c r="R1422">
        <v>1</v>
      </c>
      <c r="T1422" s="13">
        <f t="shared" si="24"/>
        <v>4</v>
      </c>
      <c r="U1422" t="s">
        <v>26</v>
      </c>
    </row>
    <row r="1423" spans="1:22" x14ac:dyDescent="0.3">
      <c r="A1423">
        <v>21</v>
      </c>
      <c r="B1423">
        <v>2</v>
      </c>
      <c r="C1423">
        <v>207735</v>
      </c>
      <c r="D1423" t="s">
        <v>58</v>
      </c>
      <c r="E1423" s="10">
        <v>44099</v>
      </c>
      <c r="F1423" t="s">
        <v>23</v>
      </c>
      <c r="G1423" s="3" t="s">
        <v>73</v>
      </c>
      <c r="H1423" t="s">
        <v>34</v>
      </c>
      <c r="P1423">
        <v>1</v>
      </c>
      <c r="Q1423">
        <v>1</v>
      </c>
      <c r="R1423">
        <v>3</v>
      </c>
      <c r="T1423" s="13">
        <f t="shared" si="24"/>
        <v>5</v>
      </c>
      <c r="U1423" t="s">
        <v>26</v>
      </c>
    </row>
    <row r="1424" spans="1:22" x14ac:dyDescent="0.3">
      <c r="A1424">
        <v>21</v>
      </c>
      <c r="B1424">
        <v>2</v>
      </c>
      <c r="C1424">
        <v>207735</v>
      </c>
      <c r="D1424" t="s">
        <v>58</v>
      </c>
      <c r="E1424" s="10">
        <v>44099</v>
      </c>
      <c r="F1424" t="s">
        <v>23</v>
      </c>
      <c r="G1424" s="3" t="s">
        <v>73</v>
      </c>
      <c r="H1424" t="s">
        <v>66</v>
      </c>
      <c r="L1424">
        <v>1</v>
      </c>
      <c r="O1424">
        <v>1</v>
      </c>
      <c r="T1424" s="13">
        <f t="shared" si="24"/>
        <v>2</v>
      </c>
      <c r="U1424" t="s">
        <v>26</v>
      </c>
    </row>
    <row r="1425" spans="1:22" x14ac:dyDescent="0.3">
      <c r="A1425">
        <v>21</v>
      </c>
      <c r="B1425">
        <v>2</v>
      </c>
      <c r="C1425">
        <v>207735</v>
      </c>
      <c r="D1425" t="s">
        <v>58</v>
      </c>
      <c r="E1425" s="10">
        <v>44099</v>
      </c>
      <c r="F1425" t="s">
        <v>23</v>
      </c>
      <c r="G1425" s="3" t="s">
        <v>73</v>
      </c>
      <c r="H1425" t="s">
        <v>63</v>
      </c>
      <c r="L1425">
        <v>1</v>
      </c>
      <c r="T1425" s="13">
        <f t="shared" si="24"/>
        <v>1</v>
      </c>
      <c r="U1425" t="s">
        <v>26</v>
      </c>
    </row>
    <row r="1426" spans="1:22" x14ac:dyDescent="0.3">
      <c r="A1426">
        <v>21</v>
      </c>
      <c r="B1426">
        <v>2</v>
      </c>
      <c r="C1426">
        <v>207735</v>
      </c>
      <c r="D1426" t="s">
        <v>58</v>
      </c>
      <c r="E1426" s="10">
        <v>44099</v>
      </c>
      <c r="F1426" t="s">
        <v>23</v>
      </c>
      <c r="G1426" s="3" t="s">
        <v>73</v>
      </c>
      <c r="H1426" t="s">
        <v>30</v>
      </c>
      <c r="J1426">
        <v>6</v>
      </c>
      <c r="T1426" s="13">
        <f t="shared" si="24"/>
        <v>6</v>
      </c>
      <c r="U1426" t="s">
        <v>26</v>
      </c>
    </row>
    <row r="1427" spans="1:22" x14ac:dyDescent="0.3">
      <c r="A1427">
        <v>21</v>
      </c>
      <c r="B1427">
        <v>2</v>
      </c>
      <c r="C1427">
        <v>207735</v>
      </c>
      <c r="D1427" t="s">
        <v>58</v>
      </c>
      <c r="E1427" s="10">
        <v>44099</v>
      </c>
      <c r="F1427" t="s">
        <v>23</v>
      </c>
      <c r="G1427" s="3" t="s">
        <v>73</v>
      </c>
      <c r="H1427" t="s">
        <v>31</v>
      </c>
      <c r="O1427">
        <v>1</v>
      </c>
      <c r="T1427" s="13">
        <f t="shared" si="24"/>
        <v>1</v>
      </c>
      <c r="U1427" t="s">
        <v>26</v>
      </c>
    </row>
    <row r="1428" spans="1:22" x14ac:dyDescent="0.3">
      <c r="A1428">
        <v>21</v>
      </c>
      <c r="B1428">
        <v>2</v>
      </c>
      <c r="C1428">
        <v>207735</v>
      </c>
      <c r="D1428" t="s">
        <v>58</v>
      </c>
      <c r="E1428" s="10">
        <v>44099</v>
      </c>
      <c r="F1428" t="s">
        <v>23</v>
      </c>
      <c r="G1428" s="3" t="s">
        <v>73</v>
      </c>
      <c r="H1428" t="s">
        <v>51</v>
      </c>
      <c r="S1428">
        <v>1</v>
      </c>
      <c r="T1428" s="13">
        <f t="shared" si="24"/>
        <v>1</v>
      </c>
      <c r="U1428" t="s">
        <v>26</v>
      </c>
    </row>
    <row r="1429" spans="1:22" x14ac:dyDescent="0.3">
      <c r="A1429">
        <v>21</v>
      </c>
      <c r="B1429">
        <v>2</v>
      </c>
      <c r="C1429">
        <v>207735</v>
      </c>
      <c r="D1429" t="s">
        <v>58</v>
      </c>
      <c r="E1429" s="10">
        <v>44099</v>
      </c>
      <c r="F1429" t="s">
        <v>23</v>
      </c>
      <c r="G1429" s="3" t="s">
        <v>73</v>
      </c>
      <c r="H1429" t="s">
        <v>41</v>
      </c>
      <c r="S1429">
        <v>2</v>
      </c>
      <c r="T1429" s="13">
        <f t="shared" si="24"/>
        <v>2</v>
      </c>
      <c r="U1429" t="s">
        <v>26</v>
      </c>
    </row>
    <row r="1430" spans="1:22" x14ac:dyDescent="0.3">
      <c r="A1430">
        <v>21</v>
      </c>
      <c r="B1430">
        <v>2</v>
      </c>
      <c r="C1430">
        <v>207735</v>
      </c>
      <c r="D1430" t="s">
        <v>58</v>
      </c>
      <c r="E1430" s="10">
        <v>44099</v>
      </c>
      <c r="F1430" t="s">
        <v>23</v>
      </c>
      <c r="G1430" s="3" t="s">
        <v>73</v>
      </c>
      <c r="H1430" t="s">
        <v>43</v>
      </c>
      <c r="K1430">
        <v>14</v>
      </c>
      <c r="Q1430">
        <v>20</v>
      </c>
      <c r="R1430">
        <v>4</v>
      </c>
      <c r="T1430" s="13">
        <f t="shared" si="24"/>
        <v>38</v>
      </c>
      <c r="U1430" t="s">
        <v>26</v>
      </c>
    </row>
    <row r="1431" spans="1:22" x14ac:dyDescent="0.3">
      <c r="A1431">
        <v>21</v>
      </c>
      <c r="B1431">
        <v>2</v>
      </c>
      <c r="C1431">
        <v>207735</v>
      </c>
      <c r="D1431" t="s">
        <v>58</v>
      </c>
      <c r="E1431" s="10">
        <v>44099</v>
      </c>
      <c r="F1431" t="s">
        <v>23</v>
      </c>
      <c r="G1431" s="3" t="s">
        <v>73</v>
      </c>
      <c r="H1431" t="s">
        <v>74</v>
      </c>
      <c r="Q1431">
        <v>1</v>
      </c>
      <c r="T1431" s="13">
        <f t="shared" si="24"/>
        <v>1</v>
      </c>
      <c r="U1431" t="s">
        <v>26</v>
      </c>
    </row>
    <row r="1432" spans="1:22" x14ac:dyDescent="0.3">
      <c r="A1432">
        <v>21</v>
      </c>
      <c r="B1432">
        <v>2</v>
      </c>
      <c r="C1432">
        <v>207735</v>
      </c>
      <c r="D1432" t="s">
        <v>58</v>
      </c>
      <c r="E1432" s="10">
        <v>44099</v>
      </c>
      <c r="F1432" t="s">
        <v>23</v>
      </c>
      <c r="G1432" s="3" t="s">
        <v>73</v>
      </c>
      <c r="H1432" t="s">
        <v>46</v>
      </c>
      <c r="Q1432">
        <v>8</v>
      </c>
      <c r="T1432" s="13">
        <f t="shared" si="24"/>
        <v>8</v>
      </c>
      <c r="U1432" t="s">
        <v>26</v>
      </c>
    </row>
    <row r="1433" spans="1:22" x14ac:dyDescent="0.3">
      <c r="A1433">
        <v>21</v>
      </c>
      <c r="B1433">
        <v>2</v>
      </c>
      <c r="C1433">
        <v>207735</v>
      </c>
      <c r="D1433" t="s">
        <v>58</v>
      </c>
      <c r="E1433" s="10">
        <v>44099</v>
      </c>
      <c r="F1433" t="s">
        <v>23</v>
      </c>
      <c r="G1433" s="3" t="s">
        <v>73</v>
      </c>
      <c r="H1433" t="s">
        <v>45</v>
      </c>
      <c r="I1433">
        <v>1</v>
      </c>
      <c r="K1433">
        <v>3</v>
      </c>
      <c r="T1433" s="13">
        <f t="shared" si="24"/>
        <v>4</v>
      </c>
      <c r="U1433" t="s">
        <v>26</v>
      </c>
    </row>
    <row r="1434" spans="1:22" x14ac:dyDescent="0.3">
      <c r="A1434">
        <v>21</v>
      </c>
      <c r="B1434">
        <v>2</v>
      </c>
      <c r="C1434">
        <v>207735</v>
      </c>
      <c r="D1434" t="s">
        <v>58</v>
      </c>
      <c r="E1434" s="10">
        <v>44099</v>
      </c>
      <c r="F1434" t="s">
        <v>23</v>
      </c>
      <c r="G1434" s="3" t="s">
        <v>73</v>
      </c>
      <c r="H1434" t="s">
        <v>64</v>
      </c>
      <c r="S1434">
        <v>1</v>
      </c>
      <c r="T1434" s="13">
        <f t="shared" si="24"/>
        <v>1</v>
      </c>
      <c r="U1434" t="s">
        <v>53</v>
      </c>
    </row>
    <row r="1435" spans="1:22" s="5" customFormat="1" ht="16.2" thickBot="1" x14ac:dyDescent="0.35">
      <c r="A1435" s="5">
        <v>21</v>
      </c>
      <c r="B1435" s="5">
        <v>2</v>
      </c>
      <c r="C1435" s="5">
        <v>207735</v>
      </c>
      <c r="D1435" s="5" t="s">
        <v>58</v>
      </c>
      <c r="E1435" s="11">
        <v>44099</v>
      </c>
      <c r="F1435" s="5" t="s">
        <v>23</v>
      </c>
      <c r="G1435" s="6" t="s">
        <v>73</v>
      </c>
      <c r="H1435" s="5" t="s">
        <v>141</v>
      </c>
      <c r="S1435" s="5">
        <v>1</v>
      </c>
      <c r="T1435" s="12">
        <f t="shared" si="24"/>
        <v>1</v>
      </c>
      <c r="U1435" s="5" t="s">
        <v>53</v>
      </c>
      <c r="V1435" s="14"/>
    </row>
    <row r="1436" spans="1:22" x14ac:dyDescent="0.3">
      <c r="A1436">
        <v>21</v>
      </c>
      <c r="B1436">
        <v>3</v>
      </c>
      <c r="C1436">
        <v>207736</v>
      </c>
      <c r="D1436" t="s">
        <v>58</v>
      </c>
      <c r="E1436" s="10">
        <v>44099</v>
      </c>
      <c r="F1436" t="s">
        <v>23</v>
      </c>
      <c r="G1436" s="3" t="s">
        <v>52</v>
      </c>
      <c r="H1436" t="s">
        <v>244</v>
      </c>
      <c r="S1436">
        <v>1</v>
      </c>
      <c r="T1436" s="13">
        <f t="shared" si="24"/>
        <v>1</v>
      </c>
      <c r="U1436" t="s">
        <v>143</v>
      </c>
      <c r="V1436" s="15" t="s">
        <v>171</v>
      </c>
    </row>
    <row r="1437" spans="1:22" x14ac:dyDescent="0.3">
      <c r="A1437">
        <v>21</v>
      </c>
      <c r="B1437">
        <v>3</v>
      </c>
      <c r="C1437">
        <v>207736</v>
      </c>
      <c r="D1437" t="s">
        <v>58</v>
      </c>
      <c r="E1437" s="10">
        <v>44099</v>
      </c>
      <c r="F1437" t="s">
        <v>23</v>
      </c>
      <c r="G1437" s="3" t="s">
        <v>47</v>
      </c>
      <c r="H1437" t="s">
        <v>25</v>
      </c>
      <c r="O1437">
        <v>23</v>
      </c>
      <c r="P1437">
        <v>67</v>
      </c>
      <c r="Q1437">
        <v>5</v>
      </c>
      <c r="T1437" s="13">
        <f t="shared" si="24"/>
        <v>95</v>
      </c>
      <c r="U1437" t="s">
        <v>144</v>
      </c>
    </row>
    <row r="1438" spans="1:22" x14ac:dyDescent="0.3">
      <c r="A1438">
        <v>21</v>
      </c>
      <c r="B1438">
        <v>3</v>
      </c>
      <c r="C1438">
        <v>207736</v>
      </c>
      <c r="D1438" t="s">
        <v>58</v>
      </c>
      <c r="E1438" s="10">
        <v>44099</v>
      </c>
      <c r="F1438" t="s">
        <v>23</v>
      </c>
      <c r="G1438" s="3" t="s">
        <v>47</v>
      </c>
      <c r="H1438" t="s">
        <v>27</v>
      </c>
      <c r="O1438">
        <v>1</v>
      </c>
      <c r="P1438">
        <v>1</v>
      </c>
      <c r="T1438" s="13">
        <f t="shared" si="24"/>
        <v>2</v>
      </c>
      <c r="U1438" t="s">
        <v>144</v>
      </c>
    </row>
    <row r="1439" spans="1:22" x14ac:dyDescent="0.3">
      <c r="A1439">
        <v>21</v>
      </c>
      <c r="B1439">
        <v>3</v>
      </c>
      <c r="C1439">
        <v>207736</v>
      </c>
      <c r="D1439" t="s">
        <v>58</v>
      </c>
      <c r="E1439" s="10">
        <v>44099</v>
      </c>
      <c r="F1439" t="s">
        <v>23</v>
      </c>
      <c r="G1439" s="3" t="s">
        <v>47</v>
      </c>
      <c r="H1439" t="s">
        <v>69</v>
      </c>
      <c r="I1439">
        <v>1</v>
      </c>
      <c r="T1439" s="13">
        <f t="shared" si="24"/>
        <v>1</v>
      </c>
      <c r="U1439" t="s">
        <v>144</v>
      </c>
    </row>
    <row r="1440" spans="1:22" x14ac:dyDescent="0.3">
      <c r="A1440">
        <v>21</v>
      </c>
      <c r="B1440">
        <v>3</v>
      </c>
      <c r="C1440">
        <v>207736</v>
      </c>
      <c r="D1440" t="s">
        <v>58</v>
      </c>
      <c r="E1440" s="10">
        <v>44099</v>
      </c>
      <c r="F1440" t="s">
        <v>23</v>
      </c>
      <c r="G1440" s="3" t="s">
        <v>28</v>
      </c>
      <c r="H1440" t="s">
        <v>30</v>
      </c>
      <c r="I1440">
        <v>3</v>
      </c>
      <c r="J1440">
        <v>12</v>
      </c>
      <c r="T1440" s="13">
        <f t="shared" si="24"/>
        <v>15</v>
      </c>
      <c r="U1440" t="s">
        <v>144</v>
      </c>
      <c r="V1440" s="15" t="s">
        <v>173</v>
      </c>
    </row>
    <row r="1441" spans="1:22" ht="31.2" x14ac:dyDescent="0.3">
      <c r="A1441">
        <v>21</v>
      </c>
      <c r="B1441">
        <v>3</v>
      </c>
      <c r="C1441">
        <v>207736</v>
      </c>
      <c r="D1441" t="s">
        <v>58</v>
      </c>
      <c r="E1441" s="10">
        <v>44099</v>
      </c>
      <c r="F1441" t="s">
        <v>23</v>
      </c>
      <c r="G1441" s="3" t="s">
        <v>28</v>
      </c>
      <c r="H1441" t="s">
        <v>60</v>
      </c>
      <c r="S1441">
        <v>2</v>
      </c>
      <c r="T1441" s="13">
        <f t="shared" si="24"/>
        <v>2</v>
      </c>
      <c r="U1441" t="s">
        <v>144</v>
      </c>
      <c r="V1441" s="15" t="s">
        <v>172</v>
      </c>
    </row>
    <row r="1442" spans="1:22" x14ac:dyDescent="0.3">
      <c r="A1442">
        <v>21</v>
      </c>
      <c r="B1442">
        <v>3</v>
      </c>
      <c r="C1442">
        <v>207736</v>
      </c>
      <c r="D1442" t="s">
        <v>58</v>
      </c>
      <c r="E1442" s="10">
        <v>44099</v>
      </c>
      <c r="F1442" t="s">
        <v>23</v>
      </c>
      <c r="G1442" s="3" t="s">
        <v>28</v>
      </c>
      <c r="H1442" t="s">
        <v>66</v>
      </c>
      <c r="J1442">
        <v>5</v>
      </c>
      <c r="O1442">
        <v>12</v>
      </c>
      <c r="T1442" s="13">
        <f t="shared" si="24"/>
        <v>17</v>
      </c>
      <c r="U1442" t="s">
        <v>144</v>
      </c>
    </row>
    <row r="1443" spans="1:22" x14ac:dyDescent="0.3">
      <c r="A1443">
        <v>21</v>
      </c>
      <c r="B1443">
        <v>3</v>
      </c>
      <c r="C1443">
        <v>207736</v>
      </c>
      <c r="D1443" t="s">
        <v>58</v>
      </c>
      <c r="E1443" s="10">
        <v>44099</v>
      </c>
      <c r="F1443" t="s">
        <v>23</v>
      </c>
      <c r="G1443" s="3" t="s">
        <v>28</v>
      </c>
      <c r="H1443" t="s">
        <v>32</v>
      </c>
      <c r="O1443">
        <v>3</v>
      </c>
      <c r="T1443" s="13">
        <f t="shared" si="24"/>
        <v>3</v>
      </c>
      <c r="U1443" t="s">
        <v>144</v>
      </c>
    </row>
    <row r="1444" spans="1:22" x14ac:dyDescent="0.3">
      <c r="A1444">
        <v>21</v>
      </c>
      <c r="B1444">
        <v>3</v>
      </c>
      <c r="C1444">
        <v>207736</v>
      </c>
      <c r="D1444" t="s">
        <v>58</v>
      </c>
      <c r="E1444" s="10">
        <v>44099</v>
      </c>
      <c r="F1444" t="s">
        <v>23</v>
      </c>
      <c r="G1444" s="3" t="s">
        <v>28</v>
      </c>
      <c r="H1444" t="s">
        <v>31</v>
      </c>
      <c r="O1444">
        <v>1</v>
      </c>
      <c r="T1444" s="13">
        <f t="shared" si="24"/>
        <v>1</v>
      </c>
      <c r="U1444" t="s">
        <v>144</v>
      </c>
    </row>
    <row r="1445" spans="1:22" ht="31.2" x14ac:dyDescent="0.3">
      <c r="A1445">
        <v>21</v>
      </c>
      <c r="B1445">
        <v>3</v>
      </c>
      <c r="C1445">
        <v>207736</v>
      </c>
      <c r="D1445" t="s">
        <v>58</v>
      </c>
      <c r="E1445" s="10">
        <v>44099</v>
      </c>
      <c r="F1445" t="s">
        <v>23</v>
      </c>
      <c r="G1445" s="3" t="s">
        <v>28</v>
      </c>
      <c r="H1445" t="s">
        <v>81</v>
      </c>
      <c r="R1445">
        <v>1</v>
      </c>
      <c r="T1445" s="13">
        <f t="shared" si="24"/>
        <v>1</v>
      </c>
      <c r="U1445" t="s">
        <v>144</v>
      </c>
      <c r="V1445" s="15" t="s">
        <v>174</v>
      </c>
    </row>
    <row r="1446" spans="1:22" x14ac:dyDescent="0.3">
      <c r="A1446">
        <v>21</v>
      </c>
      <c r="B1446">
        <v>3</v>
      </c>
      <c r="C1446">
        <v>207736</v>
      </c>
      <c r="D1446" t="s">
        <v>58</v>
      </c>
      <c r="E1446" s="10">
        <v>44099</v>
      </c>
      <c r="F1446" t="s">
        <v>23</v>
      </c>
      <c r="G1446" s="3" t="s">
        <v>28</v>
      </c>
      <c r="H1446" t="s">
        <v>34</v>
      </c>
      <c r="P1446">
        <v>2</v>
      </c>
      <c r="Q1446">
        <v>1</v>
      </c>
      <c r="R1446">
        <v>2</v>
      </c>
      <c r="T1446" s="13">
        <f t="shared" si="24"/>
        <v>5</v>
      </c>
      <c r="U1446" t="s">
        <v>144</v>
      </c>
    </row>
    <row r="1447" spans="1:22" x14ac:dyDescent="0.3">
      <c r="A1447">
        <v>21</v>
      </c>
      <c r="B1447">
        <v>3</v>
      </c>
      <c r="C1447">
        <v>207736</v>
      </c>
      <c r="D1447" t="s">
        <v>58</v>
      </c>
      <c r="E1447" s="10">
        <v>44099</v>
      </c>
      <c r="F1447" t="s">
        <v>23</v>
      </c>
      <c r="G1447" s="3" t="s">
        <v>28</v>
      </c>
      <c r="H1447" t="s">
        <v>38</v>
      </c>
      <c r="P1447">
        <v>4</v>
      </c>
      <c r="Q1447">
        <v>17</v>
      </c>
      <c r="R1447">
        <v>25</v>
      </c>
      <c r="T1447" s="13">
        <f t="shared" si="24"/>
        <v>46</v>
      </c>
      <c r="U1447" t="s">
        <v>144</v>
      </c>
    </row>
    <row r="1448" spans="1:22" x14ac:dyDescent="0.3">
      <c r="A1448">
        <v>21</v>
      </c>
      <c r="B1448">
        <v>3</v>
      </c>
      <c r="C1448">
        <v>207736</v>
      </c>
      <c r="D1448" t="s">
        <v>58</v>
      </c>
      <c r="E1448" s="10">
        <v>44099</v>
      </c>
      <c r="F1448" t="s">
        <v>23</v>
      </c>
      <c r="G1448" s="3" t="s">
        <v>28</v>
      </c>
      <c r="H1448" t="s">
        <v>37</v>
      </c>
      <c r="P1448">
        <v>1</v>
      </c>
      <c r="Q1448">
        <v>5</v>
      </c>
      <c r="T1448" s="13">
        <f t="shared" si="24"/>
        <v>6</v>
      </c>
      <c r="U1448" t="s">
        <v>144</v>
      </c>
    </row>
    <row r="1449" spans="1:22" x14ac:dyDescent="0.3">
      <c r="A1449">
        <v>21</v>
      </c>
      <c r="B1449">
        <v>3</v>
      </c>
      <c r="C1449">
        <v>207736</v>
      </c>
      <c r="D1449" t="s">
        <v>58</v>
      </c>
      <c r="E1449" s="10">
        <v>44099</v>
      </c>
      <c r="F1449" t="s">
        <v>23</v>
      </c>
      <c r="G1449" s="3" t="s">
        <v>28</v>
      </c>
      <c r="H1449" t="s">
        <v>41</v>
      </c>
      <c r="S1449">
        <v>3</v>
      </c>
      <c r="T1449" s="13">
        <f t="shared" si="24"/>
        <v>3</v>
      </c>
      <c r="U1449" t="s">
        <v>144</v>
      </c>
    </row>
    <row r="1450" spans="1:22" x14ac:dyDescent="0.3">
      <c r="A1450">
        <v>21</v>
      </c>
      <c r="B1450">
        <v>3</v>
      </c>
      <c r="C1450">
        <v>207736</v>
      </c>
      <c r="D1450" t="s">
        <v>58</v>
      </c>
      <c r="E1450" s="10">
        <v>44099</v>
      </c>
      <c r="F1450" t="s">
        <v>23</v>
      </c>
      <c r="G1450" s="3" t="s">
        <v>28</v>
      </c>
      <c r="H1450" t="s">
        <v>51</v>
      </c>
      <c r="S1450">
        <v>1</v>
      </c>
      <c r="T1450" s="13">
        <f t="shared" si="24"/>
        <v>1</v>
      </c>
      <c r="U1450" t="s">
        <v>144</v>
      </c>
    </row>
    <row r="1451" spans="1:22" x14ac:dyDescent="0.3">
      <c r="A1451">
        <v>21</v>
      </c>
      <c r="B1451">
        <v>3</v>
      </c>
      <c r="C1451">
        <v>207736</v>
      </c>
      <c r="D1451" t="s">
        <v>58</v>
      </c>
      <c r="E1451" s="10">
        <v>44099</v>
      </c>
      <c r="F1451" t="s">
        <v>23</v>
      </c>
      <c r="G1451" s="3" t="s">
        <v>28</v>
      </c>
      <c r="H1451" t="s">
        <v>43</v>
      </c>
      <c r="I1451">
        <v>2</v>
      </c>
      <c r="K1451">
        <v>15</v>
      </c>
      <c r="Q1451">
        <v>26</v>
      </c>
      <c r="R1451">
        <v>2</v>
      </c>
      <c r="T1451" s="13">
        <f t="shared" si="24"/>
        <v>45</v>
      </c>
      <c r="U1451" t="s">
        <v>144</v>
      </c>
    </row>
    <row r="1452" spans="1:22" x14ac:dyDescent="0.3">
      <c r="A1452">
        <v>21</v>
      </c>
      <c r="B1452">
        <v>3</v>
      </c>
      <c r="C1452">
        <v>207736</v>
      </c>
      <c r="D1452" t="s">
        <v>58</v>
      </c>
      <c r="E1452" s="10">
        <v>44099</v>
      </c>
      <c r="F1452" t="s">
        <v>23</v>
      </c>
      <c r="G1452" s="3" t="s">
        <v>28</v>
      </c>
      <c r="H1452" t="s">
        <v>45</v>
      </c>
      <c r="K1452">
        <v>1</v>
      </c>
      <c r="T1452" s="13">
        <f t="shared" si="24"/>
        <v>1</v>
      </c>
      <c r="U1452" t="s">
        <v>144</v>
      </c>
    </row>
    <row r="1453" spans="1:22" x14ac:dyDescent="0.3">
      <c r="A1453">
        <v>21</v>
      </c>
      <c r="B1453">
        <v>3</v>
      </c>
      <c r="C1453">
        <v>207736</v>
      </c>
      <c r="D1453" t="s">
        <v>58</v>
      </c>
      <c r="E1453" s="10">
        <v>44099</v>
      </c>
      <c r="F1453" t="s">
        <v>23</v>
      </c>
      <c r="G1453" s="3" t="s">
        <v>28</v>
      </c>
      <c r="H1453" t="s">
        <v>46</v>
      </c>
      <c r="Q1453">
        <v>13</v>
      </c>
      <c r="T1453" s="13">
        <f t="shared" si="24"/>
        <v>13</v>
      </c>
      <c r="U1453" t="s">
        <v>144</v>
      </c>
    </row>
    <row r="1454" spans="1:22" s="5" customFormat="1" ht="16.2" thickBot="1" x14ac:dyDescent="0.35">
      <c r="A1454" s="5">
        <v>21</v>
      </c>
      <c r="B1454" s="5">
        <v>3</v>
      </c>
      <c r="C1454" s="5">
        <v>207736</v>
      </c>
      <c r="D1454" s="5" t="s">
        <v>58</v>
      </c>
      <c r="E1454" s="11">
        <v>44099</v>
      </c>
      <c r="F1454" s="5" t="s">
        <v>23</v>
      </c>
      <c r="G1454" s="6" t="s">
        <v>28</v>
      </c>
      <c r="H1454" s="5" t="s">
        <v>71</v>
      </c>
      <c r="Q1454" s="5">
        <v>4</v>
      </c>
      <c r="T1454" s="12">
        <f t="shared" si="24"/>
        <v>4</v>
      </c>
      <c r="U1454" s="5" t="s">
        <v>144</v>
      </c>
      <c r="V1454" s="14"/>
    </row>
    <row r="1455" spans="1:22" x14ac:dyDescent="0.3">
      <c r="A1455">
        <v>21</v>
      </c>
      <c r="B1455">
        <v>4</v>
      </c>
      <c r="C1455">
        <v>207737</v>
      </c>
      <c r="D1455" t="s">
        <v>58</v>
      </c>
      <c r="E1455" s="10">
        <v>44099</v>
      </c>
      <c r="F1455" t="s">
        <v>23</v>
      </c>
      <c r="G1455" s="3" t="s">
        <v>47</v>
      </c>
      <c r="H1455" t="s">
        <v>25</v>
      </c>
      <c r="N1455">
        <v>1</v>
      </c>
      <c r="O1455">
        <v>17</v>
      </c>
      <c r="P1455">
        <v>49</v>
      </c>
      <c r="Q1455">
        <v>2</v>
      </c>
      <c r="R1455">
        <v>1</v>
      </c>
      <c r="T1455" s="13">
        <f t="shared" si="24"/>
        <v>70</v>
      </c>
      <c r="U1455" t="s">
        <v>144</v>
      </c>
    </row>
    <row r="1456" spans="1:22" x14ac:dyDescent="0.3">
      <c r="A1456">
        <v>21</v>
      </c>
      <c r="B1456">
        <v>4</v>
      </c>
      <c r="C1456">
        <v>207737</v>
      </c>
      <c r="D1456" t="s">
        <v>58</v>
      </c>
      <c r="E1456" s="10">
        <v>44099</v>
      </c>
      <c r="F1456" t="s">
        <v>23</v>
      </c>
      <c r="G1456" s="3" t="s">
        <v>47</v>
      </c>
      <c r="H1456" t="s">
        <v>186</v>
      </c>
      <c r="P1456">
        <v>1</v>
      </c>
      <c r="T1456" s="13">
        <f t="shared" si="24"/>
        <v>1</v>
      </c>
      <c r="U1456" t="s">
        <v>144</v>
      </c>
    </row>
    <row r="1457" spans="1:21" x14ac:dyDescent="0.3">
      <c r="A1457">
        <v>21</v>
      </c>
      <c r="B1457">
        <v>4</v>
      </c>
      <c r="C1457">
        <v>207737</v>
      </c>
      <c r="D1457" t="s">
        <v>58</v>
      </c>
      <c r="E1457" s="10">
        <v>44099</v>
      </c>
      <c r="F1457" t="s">
        <v>23</v>
      </c>
      <c r="G1457" s="3" t="s">
        <v>28</v>
      </c>
      <c r="H1457" t="s">
        <v>44</v>
      </c>
      <c r="P1457">
        <v>1</v>
      </c>
      <c r="T1457" s="13">
        <f t="shared" si="24"/>
        <v>1</v>
      </c>
      <c r="U1457" t="s">
        <v>144</v>
      </c>
    </row>
    <row r="1458" spans="1:21" x14ac:dyDescent="0.3">
      <c r="A1458">
        <v>21</v>
      </c>
      <c r="B1458">
        <v>4</v>
      </c>
      <c r="C1458">
        <v>207737</v>
      </c>
      <c r="D1458" t="s">
        <v>58</v>
      </c>
      <c r="E1458" s="10">
        <v>44099</v>
      </c>
      <c r="F1458" t="s">
        <v>23</v>
      </c>
      <c r="G1458" s="3" t="s">
        <v>28</v>
      </c>
      <c r="H1458" t="s">
        <v>142</v>
      </c>
      <c r="S1458">
        <v>16</v>
      </c>
      <c r="T1458" s="13">
        <f t="shared" si="24"/>
        <v>16</v>
      </c>
      <c r="U1458" t="s">
        <v>144</v>
      </c>
    </row>
    <row r="1459" spans="1:21" x14ac:dyDescent="0.3">
      <c r="A1459">
        <v>21</v>
      </c>
      <c r="B1459">
        <v>4</v>
      </c>
      <c r="C1459">
        <v>207737</v>
      </c>
      <c r="D1459" t="s">
        <v>58</v>
      </c>
      <c r="E1459" s="10">
        <v>44099</v>
      </c>
      <c r="F1459" t="s">
        <v>23</v>
      </c>
      <c r="G1459" s="3" t="s">
        <v>28</v>
      </c>
      <c r="H1459" t="s">
        <v>66</v>
      </c>
      <c r="N1459">
        <v>4</v>
      </c>
      <c r="O1459">
        <v>2</v>
      </c>
      <c r="P1459">
        <v>1</v>
      </c>
      <c r="T1459" s="13">
        <f t="shared" si="24"/>
        <v>7</v>
      </c>
      <c r="U1459" t="s">
        <v>144</v>
      </c>
    </row>
    <row r="1460" spans="1:21" x14ac:dyDescent="0.3">
      <c r="A1460">
        <v>21</v>
      </c>
      <c r="B1460">
        <v>4</v>
      </c>
      <c r="C1460">
        <v>207737</v>
      </c>
      <c r="D1460" t="s">
        <v>58</v>
      </c>
      <c r="E1460" s="10">
        <v>44099</v>
      </c>
      <c r="F1460" t="s">
        <v>23</v>
      </c>
      <c r="G1460" s="3" t="s">
        <v>28</v>
      </c>
      <c r="H1460" t="s">
        <v>30</v>
      </c>
      <c r="J1460">
        <v>20</v>
      </c>
      <c r="T1460" s="13">
        <f t="shared" si="24"/>
        <v>20</v>
      </c>
      <c r="U1460" t="s">
        <v>144</v>
      </c>
    </row>
    <row r="1461" spans="1:21" x14ac:dyDescent="0.3">
      <c r="A1461">
        <v>21</v>
      </c>
      <c r="B1461">
        <v>4</v>
      </c>
      <c r="C1461">
        <v>207737</v>
      </c>
      <c r="D1461" t="s">
        <v>58</v>
      </c>
      <c r="E1461" s="10">
        <v>44099</v>
      </c>
      <c r="F1461" t="s">
        <v>23</v>
      </c>
      <c r="G1461" s="3" t="s">
        <v>28</v>
      </c>
      <c r="H1461" t="s">
        <v>37</v>
      </c>
      <c r="O1461">
        <v>4</v>
      </c>
      <c r="P1461">
        <v>5</v>
      </c>
      <c r="Q1461">
        <v>26</v>
      </c>
      <c r="R1461">
        <v>1</v>
      </c>
      <c r="T1461" s="13">
        <f t="shared" ref="T1461:T1524" si="25">SUM(I1461:S1461)</f>
        <v>36</v>
      </c>
      <c r="U1461" t="s">
        <v>144</v>
      </c>
    </row>
    <row r="1462" spans="1:21" x14ac:dyDescent="0.3">
      <c r="A1462">
        <v>21</v>
      </c>
      <c r="B1462">
        <v>4</v>
      </c>
      <c r="C1462">
        <v>207737</v>
      </c>
      <c r="D1462" t="s">
        <v>58</v>
      </c>
      <c r="E1462" s="10">
        <v>44099</v>
      </c>
      <c r="F1462" t="s">
        <v>23</v>
      </c>
      <c r="G1462" s="3" t="s">
        <v>28</v>
      </c>
      <c r="H1462" t="s">
        <v>32</v>
      </c>
      <c r="O1462">
        <v>11</v>
      </c>
      <c r="T1462" s="13">
        <f t="shared" si="25"/>
        <v>11</v>
      </c>
      <c r="U1462" t="s">
        <v>144</v>
      </c>
    </row>
    <row r="1463" spans="1:21" x14ac:dyDescent="0.3">
      <c r="A1463">
        <v>21</v>
      </c>
      <c r="B1463">
        <v>4</v>
      </c>
      <c r="C1463">
        <v>207737</v>
      </c>
      <c r="D1463" t="s">
        <v>58</v>
      </c>
      <c r="E1463" s="10">
        <v>44099</v>
      </c>
      <c r="F1463" t="s">
        <v>23</v>
      </c>
      <c r="G1463" s="3" t="s">
        <v>28</v>
      </c>
      <c r="H1463" t="s">
        <v>38</v>
      </c>
      <c r="P1463">
        <v>14</v>
      </c>
      <c r="Q1463">
        <v>24</v>
      </c>
      <c r="R1463">
        <v>15</v>
      </c>
      <c r="T1463" s="13">
        <f t="shared" si="25"/>
        <v>53</v>
      </c>
      <c r="U1463" t="s">
        <v>144</v>
      </c>
    </row>
    <row r="1464" spans="1:21" x14ac:dyDescent="0.3">
      <c r="A1464">
        <v>21</v>
      </c>
      <c r="B1464">
        <v>4</v>
      </c>
      <c r="C1464">
        <v>207737</v>
      </c>
      <c r="D1464" t="s">
        <v>58</v>
      </c>
      <c r="E1464" s="10">
        <v>44099</v>
      </c>
      <c r="F1464" t="s">
        <v>23</v>
      </c>
      <c r="G1464" s="3" t="s">
        <v>28</v>
      </c>
      <c r="H1464" t="s">
        <v>31</v>
      </c>
      <c r="P1464">
        <v>2</v>
      </c>
      <c r="Q1464">
        <v>1</v>
      </c>
      <c r="T1464" s="13">
        <f t="shared" si="25"/>
        <v>3</v>
      </c>
      <c r="U1464" t="s">
        <v>144</v>
      </c>
    </row>
    <row r="1465" spans="1:21" x14ac:dyDescent="0.3">
      <c r="A1465">
        <v>21</v>
      </c>
      <c r="B1465">
        <v>4</v>
      </c>
      <c r="C1465">
        <v>207737</v>
      </c>
      <c r="D1465" t="s">
        <v>58</v>
      </c>
      <c r="E1465" s="10">
        <v>44099</v>
      </c>
      <c r="F1465" t="s">
        <v>23</v>
      </c>
      <c r="G1465" s="3" t="s">
        <v>28</v>
      </c>
      <c r="H1465" t="s">
        <v>34</v>
      </c>
      <c r="R1465">
        <v>1</v>
      </c>
      <c r="T1465" s="13">
        <f t="shared" si="25"/>
        <v>1</v>
      </c>
      <c r="U1465" t="s">
        <v>144</v>
      </c>
    </row>
    <row r="1466" spans="1:21" x14ac:dyDescent="0.3">
      <c r="A1466">
        <v>21</v>
      </c>
      <c r="B1466">
        <v>4</v>
      </c>
      <c r="C1466">
        <v>207737</v>
      </c>
      <c r="D1466" t="s">
        <v>58</v>
      </c>
      <c r="E1466" s="10">
        <v>44099</v>
      </c>
      <c r="F1466" t="s">
        <v>23</v>
      </c>
      <c r="G1466" s="3" t="s">
        <v>28</v>
      </c>
      <c r="H1466" t="s">
        <v>33</v>
      </c>
      <c r="R1466">
        <v>1</v>
      </c>
      <c r="T1466" s="13">
        <f t="shared" si="25"/>
        <v>1</v>
      </c>
      <c r="U1466" t="s">
        <v>144</v>
      </c>
    </row>
    <row r="1467" spans="1:21" x14ac:dyDescent="0.3">
      <c r="A1467">
        <v>21</v>
      </c>
      <c r="B1467">
        <v>4</v>
      </c>
      <c r="C1467">
        <v>207737</v>
      </c>
      <c r="D1467" t="s">
        <v>58</v>
      </c>
      <c r="E1467" s="10">
        <v>44099</v>
      </c>
      <c r="F1467" t="s">
        <v>23</v>
      </c>
      <c r="G1467" s="3" t="s">
        <v>28</v>
      </c>
      <c r="H1467" t="s">
        <v>43</v>
      </c>
      <c r="Q1467">
        <v>1</v>
      </c>
      <c r="T1467" s="13">
        <f t="shared" si="25"/>
        <v>1</v>
      </c>
      <c r="U1467" t="s">
        <v>144</v>
      </c>
    </row>
    <row r="1468" spans="1:21" x14ac:dyDescent="0.3">
      <c r="A1468">
        <v>21</v>
      </c>
      <c r="B1468">
        <v>4</v>
      </c>
      <c r="C1468">
        <v>207737</v>
      </c>
      <c r="D1468" t="s">
        <v>58</v>
      </c>
      <c r="E1468" s="10">
        <v>44099</v>
      </c>
      <c r="F1468" t="s">
        <v>23</v>
      </c>
      <c r="G1468" s="3" t="s">
        <v>28</v>
      </c>
      <c r="H1468" t="s">
        <v>51</v>
      </c>
      <c r="S1468">
        <v>6</v>
      </c>
      <c r="T1468" s="13">
        <f t="shared" si="25"/>
        <v>6</v>
      </c>
      <c r="U1468" t="s">
        <v>144</v>
      </c>
    </row>
    <row r="1469" spans="1:21" x14ac:dyDescent="0.3">
      <c r="A1469">
        <v>21</v>
      </c>
      <c r="B1469">
        <v>4</v>
      </c>
      <c r="C1469">
        <v>207737</v>
      </c>
      <c r="D1469" t="s">
        <v>58</v>
      </c>
      <c r="E1469" s="10">
        <v>44099</v>
      </c>
      <c r="F1469" t="s">
        <v>23</v>
      </c>
      <c r="G1469" s="3" t="s">
        <v>28</v>
      </c>
      <c r="H1469" t="s">
        <v>41</v>
      </c>
      <c r="S1469">
        <v>14</v>
      </c>
      <c r="T1469" s="13">
        <f t="shared" si="25"/>
        <v>14</v>
      </c>
      <c r="U1469" t="s">
        <v>144</v>
      </c>
    </row>
    <row r="1470" spans="1:21" x14ac:dyDescent="0.3">
      <c r="A1470">
        <v>21</v>
      </c>
      <c r="B1470">
        <v>4</v>
      </c>
      <c r="C1470">
        <v>207737</v>
      </c>
      <c r="D1470" t="s">
        <v>58</v>
      </c>
      <c r="E1470" s="10">
        <v>44099</v>
      </c>
      <c r="F1470" t="s">
        <v>23</v>
      </c>
      <c r="G1470" s="3" t="s">
        <v>28</v>
      </c>
      <c r="H1470" t="s">
        <v>163</v>
      </c>
      <c r="S1470">
        <v>1</v>
      </c>
      <c r="T1470" s="13">
        <f t="shared" si="25"/>
        <v>1</v>
      </c>
      <c r="U1470" t="s">
        <v>144</v>
      </c>
    </row>
    <row r="1471" spans="1:21" x14ac:dyDescent="0.3">
      <c r="A1471">
        <v>21</v>
      </c>
      <c r="B1471">
        <v>4</v>
      </c>
      <c r="C1471">
        <v>207737</v>
      </c>
      <c r="D1471" t="s">
        <v>58</v>
      </c>
      <c r="E1471" s="10">
        <v>44099</v>
      </c>
      <c r="F1471" t="s">
        <v>23</v>
      </c>
      <c r="G1471" s="3" t="s">
        <v>28</v>
      </c>
      <c r="H1471" t="s">
        <v>49</v>
      </c>
      <c r="S1471">
        <v>1</v>
      </c>
      <c r="T1471" s="13">
        <f t="shared" si="25"/>
        <v>1</v>
      </c>
      <c r="U1471" t="s">
        <v>144</v>
      </c>
    </row>
    <row r="1472" spans="1:21" x14ac:dyDescent="0.3">
      <c r="A1472">
        <v>21</v>
      </c>
      <c r="B1472">
        <v>4</v>
      </c>
      <c r="C1472">
        <v>207737</v>
      </c>
      <c r="D1472" t="s">
        <v>58</v>
      </c>
      <c r="E1472" s="10">
        <v>44099</v>
      </c>
      <c r="F1472" t="s">
        <v>23</v>
      </c>
      <c r="G1472" s="3" t="s">
        <v>28</v>
      </c>
      <c r="H1472" t="s">
        <v>74</v>
      </c>
      <c r="Q1472">
        <v>2</v>
      </c>
      <c r="T1472" s="13">
        <f t="shared" si="25"/>
        <v>2</v>
      </c>
      <c r="U1472" t="s">
        <v>144</v>
      </c>
    </row>
    <row r="1473" spans="1:22" x14ac:dyDescent="0.3">
      <c r="A1473">
        <v>21</v>
      </c>
      <c r="B1473">
        <v>4</v>
      </c>
      <c r="C1473">
        <v>207737</v>
      </c>
      <c r="D1473" t="s">
        <v>58</v>
      </c>
      <c r="E1473" s="10">
        <v>44099</v>
      </c>
      <c r="F1473" t="s">
        <v>23</v>
      </c>
      <c r="G1473" s="3" t="s">
        <v>28</v>
      </c>
      <c r="H1473" t="s">
        <v>46</v>
      </c>
      <c r="Q1473">
        <v>55</v>
      </c>
      <c r="R1473">
        <v>1</v>
      </c>
      <c r="T1473" s="13">
        <f t="shared" si="25"/>
        <v>56</v>
      </c>
      <c r="U1473" t="s">
        <v>144</v>
      </c>
    </row>
    <row r="1474" spans="1:22" s="5" customFormat="1" ht="16.2" thickBot="1" x14ac:dyDescent="0.35">
      <c r="A1474" s="5">
        <v>21</v>
      </c>
      <c r="B1474" s="5">
        <v>4</v>
      </c>
      <c r="C1474" s="5">
        <v>207737</v>
      </c>
      <c r="D1474" s="5" t="s">
        <v>58</v>
      </c>
      <c r="E1474" s="11">
        <v>44099</v>
      </c>
      <c r="F1474" s="5" t="s">
        <v>23</v>
      </c>
      <c r="G1474" s="6" t="s">
        <v>28</v>
      </c>
      <c r="H1474" s="5" t="s">
        <v>45</v>
      </c>
      <c r="K1474" s="5">
        <v>20</v>
      </c>
      <c r="T1474" s="12">
        <f t="shared" si="25"/>
        <v>20</v>
      </c>
      <c r="U1474" s="5" t="s">
        <v>144</v>
      </c>
      <c r="V1474" s="14"/>
    </row>
    <row r="1475" spans="1:22" x14ac:dyDescent="0.3">
      <c r="A1475">
        <v>21</v>
      </c>
      <c r="B1475">
        <v>5</v>
      </c>
      <c r="C1475">
        <v>207738</v>
      </c>
      <c r="D1475" t="s">
        <v>58</v>
      </c>
      <c r="E1475" s="10">
        <v>44099</v>
      </c>
      <c r="F1475" t="s">
        <v>23</v>
      </c>
      <c r="G1475" s="3" t="s">
        <v>52</v>
      </c>
      <c r="H1475" t="s">
        <v>141</v>
      </c>
      <c r="S1475">
        <v>3</v>
      </c>
      <c r="T1475" s="13">
        <f t="shared" si="25"/>
        <v>3</v>
      </c>
      <c r="U1475" t="s">
        <v>143</v>
      </c>
    </row>
    <row r="1476" spans="1:22" x14ac:dyDescent="0.3">
      <c r="A1476">
        <v>21</v>
      </c>
      <c r="B1476">
        <v>5</v>
      </c>
      <c r="C1476">
        <v>207738</v>
      </c>
      <c r="D1476" t="s">
        <v>58</v>
      </c>
      <c r="E1476" s="10">
        <v>44099</v>
      </c>
      <c r="F1476" t="s">
        <v>23</v>
      </c>
      <c r="G1476" s="3" t="s">
        <v>52</v>
      </c>
      <c r="H1476" t="s">
        <v>165</v>
      </c>
      <c r="S1476">
        <v>1</v>
      </c>
      <c r="T1476" s="13">
        <f t="shared" si="25"/>
        <v>1</v>
      </c>
      <c r="U1476" t="s">
        <v>143</v>
      </c>
    </row>
    <row r="1477" spans="1:22" x14ac:dyDescent="0.3">
      <c r="A1477">
        <v>21</v>
      </c>
      <c r="B1477">
        <v>5</v>
      </c>
      <c r="C1477">
        <v>207738</v>
      </c>
      <c r="D1477" t="s">
        <v>58</v>
      </c>
      <c r="E1477" s="10">
        <v>44099</v>
      </c>
      <c r="F1477" t="s">
        <v>23</v>
      </c>
      <c r="G1477" s="3" t="s">
        <v>52</v>
      </c>
      <c r="H1477" t="s">
        <v>64</v>
      </c>
      <c r="S1477">
        <v>1</v>
      </c>
      <c r="T1477" s="13">
        <f t="shared" si="25"/>
        <v>1</v>
      </c>
      <c r="U1477" t="s">
        <v>143</v>
      </c>
    </row>
    <row r="1478" spans="1:22" x14ac:dyDescent="0.3">
      <c r="A1478">
        <v>21</v>
      </c>
      <c r="B1478">
        <v>5</v>
      </c>
      <c r="C1478">
        <v>207738</v>
      </c>
      <c r="D1478" t="s">
        <v>58</v>
      </c>
      <c r="E1478" s="10">
        <v>44099</v>
      </c>
      <c r="F1478" t="s">
        <v>23</v>
      </c>
      <c r="G1478" s="3" t="s">
        <v>52</v>
      </c>
      <c r="H1478" t="s">
        <v>180</v>
      </c>
      <c r="S1478">
        <v>1</v>
      </c>
      <c r="T1478" s="13">
        <f t="shared" si="25"/>
        <v>1</v>
      </c>
      <c r="U1478" t="s">
        <v>143</v>
      </c>
    </row>
    <row r="1479" spans="1:22" x14ac:dyDescent="0.3">
      <c r="A1479">
        <v>21</v>
      </c>
      <c r="B1479">
        <v>5</v>
      </c>
      <c r="C1479">
        <v>207738</v>
      </c>
      <c r="D1479" t="s">
        <v>58</v>
      </c>
      <c r="E1479" s="10">
        <v>44099</v>
      </c>
      <c r="F1479" t="s">
        <v>23</v>
      </c>
      <c r="G1479" s="3" t="s">
        <v>52</v>
      </c>
      <c r="H1479" t="s">
        <v>244</v>
      </c>
      <c r="S1479">
        <v>1</v>
      </c>
      <c r="T1479" s="13">
        <f t="shared" si="25"/>
        <v>1</v>
      </c>
      <c r="U1479" t="s">
        <v>143</v>
      </c>
    </row>
    <row r="1480" spans="1:22" x14ac:dyDescent="0.3">
      <c r="A1480">
        <v>21</v>
      </c>
      <c r="B1480">
        <v>5</v>
      </c>
      <c r="C1480">
        <v>207738</v>
      </c>
      <c r="D1480" t="s">
        <v>58</v>
      </c>
      <c r="E1480" s="10">
        <v>44099</v>
      </c>
      <c r="F1480" t="s">
        <v>23</v>
      </c>
      <c r="G1480" s="3" t="s">
        <v>52</v>
      </c>
      <c r="H1480" t="s">
        <v>30</v>
      </c>
      <c r="J1480">
        <v>1</v>
      </c>
      <c r="T1480" s="13">
        <f t="shared" si="25"/>
        <v>1</v>
      </c>
      <c r="U1480" t="s">
        <v>144</v>
      </c>
    </row>
    <row r="1481" spans="1:22" x14ac:dyDescent="0.3">
      <c r="A1481">
        <v>21</v>
      </c>
      <c r="B1481">
        <v>5</v>
      </c>
      <c r="C1481">
        <v>207738</v>
      </c>
      <c r="D1481" t="s">
        <v>58</v>
      </c>
      <c r="E1481" s="10">
        <v>44099</v>
      </c>
      <c r="F1481" t="s">
        <v>23</v>
      </c>
      <c r="G1481" s="3" t="s">
        <v>80</v>
      </c>
      <c r="H1481" t="s">
        <v>25</v>
      </c>
      <c r="N1481">
        <v>5</v>
      </c>
      <c r="O1481">
        <v>33</v>
      </c>
      <c r="P1481">
        <v>28</v>
      </c>
      <c r="Q1481">
        <v>1</v>
      </c>
      <c r="R1481">
        <v>1</v>
      </c>
      <c r="T1481" s="13">
        <f t="shared" si="25"/>
        <v>68</v>
      </c>
      <c r="U1481" t="s">
        <v>144</v>
      </c>
    </row>
    <row r="1482" spans="1:22" x14ac:dyDescent="0.3">
      <c r="A1482">
        <v>21</v>
      </c>
      <c r="B1482">
        <v>5</v>
      </c>
      <c r="C1482">
        <v>207738</v>
      </c>
      <c r="D1482" t="s">
        <v>58</v>
      </c>
      <c r="E1482" s="10">
        <v>44099</v>
      </c>
      <c r="F1482" t="s">
        <v>23</v>
      </c>
      <c r="G1482" s="3" t="s">
        <v>80</v>
      </c>
      <c r="H1482" t="s">
        <v>27</v>
      </c>
      <c r="O1482">
        <v>1</v>
      </c>
      <c r="T1482" s="13">
        <f t="shared" si="25"/>
        <v>1</v>
      </c>
      <c r="U1482" t="s">
        <v>144</v>
      </c>
    </row>
    <row r="1483" spans="1:22" x14ac:dyDescent="0.3">
      <c r="A1483">
        <v>21</v>
      </c>
      <c r="B1483">
        <v>5</v>
      </c>
      <c r="C1483">
        <v>207738</v>
      </c>
      <c r="D1483" t="s">
        <v>58</v>
      </c>
      <c r="E1483" s="10">
        <v>44099</v>
      </c>
      <c r="F1483" t="s">
        <v>23</v>
      </c>
      <c r="G1483" s="3" t="s">
        <v>54</v>
      </c>
      <c r="H1483" t="s">
        <v>30</v>
      </c>
      <c r="I1483">
        <v>2</v>
      </c>
      <c r="J1483">
        <v>44</v>
      </c>
      <c r="T1483" s="13">
        <f t="shared" si="25"/>
        <v>46</v>
      </c>
      <c r="U1483" t="s">
        <v>144</v>
      </c>
    </row>
    <row r="1484" spans="1:22" x14ac:dyDescent="0.3">
      <c r="A1484">
        <v>21</v>
      </c>
      <c r="B1484">
        <v>5</v>
      </c>
      <c r="C1484">
        <v>207738</v>
      </c>
      <c r="D1484" t="s">
        <v>58</v>
      </c>
      <c r="E1484" s="10">
        <v>44099</v>
      </c>
      <c r="F1484" t="s">
        <v>23</v>
      </c>
      <c r="G1484" s="3" t="s">
        <v>54</v>
      </c>
      <c r="H1484" t="s">
        <v>192</v>
      </c>
      <c r="S1484">
        <v>7</v>
      </c>
      <c r="T1484" s="13">
        <f t="shared" si="25"/>
        <v>7</v>
      </c>
      <c r="U1484" t="s">
        <v>144</v>
      </c>
    </row>
    <row r="1485" spans="1:22" x14ac:dyDescent="0.3">
      <c r="A1485">
        <v>21</v>
      </c>
      <c r="B1485">
        <v>5</v>
      </c>
      <c r="C1485">
        <v>207738</v>
      </c>
      <c r="D1485" t="s">
        <v>58</v>
      </c>
      <c r="E1485" s="10">
        <v>44099</v>
      </c>
      <c r="F1485" t="s">
        <v>23</v>
      </c>
      <c r="G1485" s="3" t="s">
        <v>54</v>
      </c>
      <c r="H1485" t="s">
        <v>44</v>
      </c>
      <c r="M1485">
        <v>1</v>
      </c>
      <c r="T1485" s="13">
        <f t="shared" si="25"/>
        <v>1</v>
      </c>
      <c r="U1485" t="s">
        <v>144</v>
      </c>
    </row>
    <row r="1486" spans="1:22" x14ac:dyDescent="0.3">
      <c r="A1486">
        <v>21</v>
      </c>
      <c r="B1486">
        <v>5</v>
      </c>
      <c r="C1486">
        <v>207738</v>
      </c>
      <c r="D1486" t="s">
        <v>58</v>
      </c>
      <c r="E1486" s="10">
        <v>44099</v>
      </c>
      <c r="F1486" t="s">
        <v>23</v>
      </c>
      <c r="G1486" s="3" t="s">
        <v>54</v>
      </c>
      <c r="H1486" t="s">
        <v>37</v>
      </c>
      <c r="O1486">
        <v>6</v>
      </c>
      <c r="P1486">
        <v>12</v>
      </c>
      <c r="Q1486">
        <v>53</v>
      </c>
      <c r="R1486">
        <v>1</v>
      </c>
      <c r="T1486" s="13">
        <f t="shared" si="25"/>
        <v>72</v>
      </c>
      <c r="U1486" t="s">
        <v>144</v>
      </c>
    </row>
    <row r="1487" spans="1:22" x14ac:dyDescent="0.3">
      <c r="A1487">
        <v>21</v>
      </c>
      <c r="B1487">
        <v>5</v>
      </c>
      <c r="C1487">
        <v>207738</v>
      </c>
      <c r="D1487" t="s">
        <v>58</v>
      </c>
      <c r="E1487" s="10">
        <v>44099</v>
      </c>
      <c r="F1487" t="s">
        <v>23</v>
      </c>
      <c r="G1487" s="3" t="s">
        <v>54</v>
      </c>
      <c r="H1487" t="s">
        <v>32</v>
      </c>
      <c r="O1487">
        <v>32</v>
      </c>
      <c r="T1487" s="13">
        <f t="shared" si="25"/>
        <v>32</v>
      </c>
      <c r="U1487" t="s">
        <v>144</v>
      </c>
    </row>
    <row r="1488" spans="1:22" x14ac:dyDescent="0.3">
      <c r="A1488">
        <v>21</v>
      </c>
      <c r="B1488">
        <v>5</v>
      </c>
      <c r="C1488">
        <v>207738</v>
      </c>
      <c r="D1488" t="s">
        <v>58</v>
      </c>
      <c r="E1488" s="10">
        <v>44099</v>
      </c>
      <c r="F1488" t="s">
        <v>23</v>
      </c>
      <c r="G1488" s="3" t="s">
        <v>54</v>
      </c>
      <c r="H1488" t="s">
        <v>38</v>
      </c>
      <c r="P1488">
        <v>34</v>
      </c>
      <c r="Q1488">
        <v>19</v>
      </c>
      <c r="T1488" s="13">
        <f t="shared" si="25"/>
        <v>53</v>
      </c>
      <c r="U1488" t="s">
        <v>144</v>
      </c>
    </row>
    <row r="1489" spans="1:22" x14ac:dyDescent="0.3">
      <c r="A1489">
        <v>21</v>
      </c>
      <c r="B1489">
        <v>5</v>
      </c>
      <c r="C1489">
        <v>207738</v>
      </c>
      <c r="D1489" t="s">
        <v>58</v>
      </c>
      <c r="E1489" s="10">
        <v>44099</v>
      </c>
      <c r="F1489" t="s">
        <v>23</v>
      </c>
      <c r="G1489" s="3" t="s">
        <v>54</v>
      </c>
      <c r="H1489" t="s">
        <v>31</v>
      </c>
      <c r="P1489">
        <v>5</v>
      </c>
      <c r="Q1489">
        <v>2</v>
      </c>
      <c r="R1489">
        <v>20</v>
      </c>
      <c r="T1489" s="13">
        <f t="shared" si="25"/>
        <v>27</v>
      </c>
      <c r="U1489" t="s">
        <v>144</v>
      </c>
    </row>
    <row r="1490" spans="1:22" x14ac:dyDescent="0.3">
      <c r="A1490">
        <v>21</v>
      </c>
      <c r="B1490">
        <v>5</v>
      </c>
      <c r="C1490">
        <v>207738</v>
      </c>
      <c r="D1490" t="s">
        <v>58</v>
      </c>
      <c r="E1490" s="10">
        <v>44099</v>
      </c>
      <c r="F1490" t="s">
        <v>23</v>
      </c>
      <c r="G1490" s="3" t="s">
        <v>54</v>
      </c>
      <c r="H1490" t="s">
        <v>81</v>
      </c>
      <c r="R1490">
        <v>1</v>
      </c>
      <c r="T1490" s="13">
        <f t="shared" si="25"/>
        <v>1</v>
      </c>
      <c r="U1490" t="s">
        <v>144</v>
      </c>
    </row>
    <row r="1491" spans="1:22" x14ac:dyDescent="0.3">
      <c r="A1491">
        <v>21</v>
      </c>
      <c r="B1491">
        <v>5</v>
      </c>
      <c r="C1491">
        <v>207738</v>
      </c>
      <c r="D1491" t="s">
        <v>58</v>
      </c>
      <c r="E1491" s="10">
        <v>44099</v>
      </c>
      <c r="F1491" t="s">
        <v>23</v>
      </c>
      <c r="G1491" s="3" t="s">
        <v>54</v>
      </c>
      <c r="H1491" t="s">
        <v>34</v>
      </c>
      <c r="R1491">
        <v>1</v>
      </c>
      <c r="T1491" s="13">
        <f t="shared" si="25"/>
        <v>1</v>
      </c>
      <c r="U1491" t="s">
        <v>144</v>
      </c>
    </row>
    <row r="1492" spans="1:22" ht="46.8" x14ac:dyDescent="0.3">
      <c r="A1492">
        <v>21</v>
      </c>
      <c r="B1492">
        <v>5</v>
      </c>
      <c r="C1492">
        <v>207738</v>
      </c>
      <c r="D1492" t="s">
        <v>58</v>
      </c>
      <c r="E1492" s="10">
        <v>44099</v>
      </c>
      <c r="F1492" t="s">
        <v>23</v>
      </c>
      <c r="G1492" s="3" t="s">
        <v>54</v>
      </c>
      <c r="H1492" t="s">
        <v>245</v>
      </c>
      <c r="S1492">
        <v>1</v>
      </c>
      <c r="T1492" s="13">
        <f t="shared" si="25"/>
        <v>1</v>
      </c>
      <c r="U1492" t="s">
        <v>144</v>
      </c>
      <c r="V1492" s="15" t="s">
        <v>246</v>
      </c>
    </row>
    <row r="1493" spans="1:22" x14ac:dyDescent="0.3">
      <c r="A1493">
        <v>21</v>
      </c>
      <c r="B1493">
        <v>5</v>
      </c>
      <c r="C1493">
        <v>207738</v>
      </c>
      <c r="D1493" t="s">
        <v>58</v>
      </c>
      <c r="E1493" s="10">
        <v>44099</v>
      </c>
      <c r="F1493" t="s">
        <v>23</v>
      </c>
      <c r="G1493" s="3" t="s">
        <v>54</v>
      </c>
      <c r="H1493" t="s">
        <v>56</v>
      </c>
      <c r="S1493">
        <v>1</v>
      </c>
      <c r="T1493" s="13">
        <f t="shared" si="25"/>
        <v>1</v>
      </c>
      <c r="U1493" t="s">
        <v>144</v>
      </c>
    </row>
    <row r="1494" spans="1:22" x14ac:dyDescent="0.3">
      <c r="A1494">
        <v>21</v>
      </c>
      <c r="B1494">
        <v>5</v>
      </c>
      <c r="C1494">
        <v>207738</v>
      </c>
      <c r="D1494" t="s">
        <v>58</v>
      </c>
      <c r="E1494" s="10">
        <v>44099</v>
      </c>
      <c r="F1494" t="s">
        <v>23</v>
      </c>
      <c r="G1494" s="3" t="s">
        <v>54</v>
      </c>
      <c r="H1494" t="s">
        <v>55</v>
      </c>
      <c r="S1494">
        <v>1</v>
      </c>
      <c r="T1494" s="13">
        <f t="shared" si="25"/>
        <v>1</v>
      </c>
      <c r="U1494" t="s">
        <v>144</v>
      </c>
    </row>
    <row r="1495" spans="1:22" x14ac:dyDescent="0.3">
      <c r="A1495">
        <v>21</v>
      </c>
      <c r="B1495">
        <v>5</v>
      </c>
      <c r="C1495">
        <v>207738</v>
      </c>
      <c r="D1495" t="s">
        <v>58</v>
      </c>
      <c r="E1495" s="10">
        <v>44099</v>
      </c>
      <c r="F1495" t="s">
        <v>23</v>
      </c>
      <c r="G1495" s="3" t="s">
        <v>54</v>
      </c>
      <c r="H1495" t="s">
        <v>51</v>
      </c>
      <c r="S1495">
        <v>3</v>
      </c>
      <c r="T1495" s="13">
        <f t="shared" si="25"/>
        <v>3</v>
      </c>
      <c r="U1495" t="s">
        <v>144</v>
      </c>
    </row>
    <row r="1496" spans="1:22" x14ac:dyDescent="0.3">
      <c r="A1496">
        <v>21</v>
      </c>
      <c r="B1496">
        <v>5</v>
      </c>
      <c r="C1496">
        <v>207738</v>
      </c>
      <c r="D1496" t="s">
        <v>58</v>
      </c>
      <c r="E1496" s="10">
        <v>44099</v>
      </c>
      <c r="F1496" t="s">
        <v>23</v>
      </c>
      <c r="G1496" s="3" t="s">
        <v>54</v>
      </c>
      <c r="H1496" t="s">
        <v>41</v>
      </c>
      <c r="S1496">
        <v>9</v>
      </c>
      <c r="T1496" s="13">
        <f t="shared" si="25"/>
        <v>9</v>
      </c>
      <c r="U1496" t="s">
        <v>144</v>
      </c>
    </row>
    <row r="1497" spans="1:22" x14ac:dyDescent="0.3">
      <c r="A1497">
        <v>21</v>
      </c>
      <c r="B1497">
        <v>5</v>
      </c>
      <c r="C1497">
        <v>207738</v>
      </c>
      <c r="D1497" t="s">
        <v>58</v>
      </c>
      <c r="E1497" s="10">
        <v>44099</v>
      </c>
      <c r="F1497" t="s">
        <v>23</v>
      </c>
      <c r="G1497" s="3" t="s">
        <v>54</v>
      </c>
      <c r="H1497" t="s">
        <v>50</v>
      </c>
      <c r="S1497">
        <v>1</v>
      </c>
      <c r="T1497" s="13">
        <f t="shared" si="25"/>
        <v>1</v>
      </c>
      <c r="U1497" t="s">
        <v>144</v>
      </c>
    </row>
    <row r="1498" spans="1:22" x14ac:dyDescent="0.3">
      <c r="A1498">
        <v>21</v>
      </c>
      <c r="B1498">
        <v>5</v>
      </c>
      <c r="C1498">
        <v>207738</v>
      </c>
      <c r="D1498" t="s">
        <v>58</v>
      </c>
      <c r="E1498" s="10">
        <v>44099</v>
      </c>
      <c r="F1498" t="s">
        <v>23</v>
      </c>
      <c r="G1498" s="3" t="s">
        <v>54</v>
      </c>
      <c r="H1498" t="s">
        <v>49</v>
      </c>
      <c r="S1498">
        <v>4</v>
      </c>
      <c r="T1498" s="13">
        <f t="shared" si="25"/>
        <v>4</v>
      </c>
      <c r="U1498" t="s">
        <v>144</v>
      </c>
    </row>
    <row r="1499" spans="1:22" x14ac:dyDescent="0.3">
      <c r="A1499">
        <v>21</v>
      </c>
      <c r="B1499">
        <v>5</v>
      </c>
      <c r="C1499">
        <v>207738</v>
      </c>
      <c r="D1499" t="s">
        <v>58</v>
      </c>
      <c r="E1499" s="10">
        <v>44099</v>
      </c>
      <c r="F1499" t="s">
        <v>23</v>
      </c>
      <c r="G1499" s="3" t="s">
        <v>54</v>
      </c>
      <c r="H1499" t="s">
        <v>42</v>
      </c>
      <c r="S1499">
        <v>3</v>
      </c>
      <c r="T1499" s="13">
        <f t="shared" si="25"/>
        <v>3</v>
      </c>
      <c r="U1499" t="s">
        <v>144</v>
      </c>
    </row>
    <row r="1500" spans="1:22" x14ac:dyDescent="0.3">
      <c r="A1500">
        <v>21</v>
      </c>
      <c r="B1500">
        <v>5</v>
      </c>
      <c r="C1500">
        <v>207738</v>
      </c>
      <c r="D1500" t="s">
        <v>58</v>
      </c>
      <c r="E1500" s="10">
        <v>44099</v>
      </c>
      <c r="F1500" t="s">
        <v>23</v>
      </c>
      <c r="G1500" s="3" t="s">
        <v>54</v>
      </c>
      <c r="H1500" t="s">
        <v>45</v>
      </c>
      <c r="I1500">
        <v>1</v>
      </c>
      <c r="K1500">
        <v>30</v>
      </c>
      <c r="T1500" s="13">
        <f t="shared" si="25"/>
        <v>31</v>
      </c>
      <c r="U1500" t="s">
        <v>144</v>
      </c>
    </row>
    <row r="1501" spans="1:22" s="5" customFormat="1" ht="16.2" thickBot="1" x14ac:dyDescent="0.35">
      <c r="A1501" s="5">
        <v>21</v>
      </c>
      <c r="B1501" s="5">
        <v>5</v>
      </c>
      <c r="C1501" s="5">
        <v>207738</v>
      </c>
      <c r="D1501" s="5" t="s">
        <v>58</v>
      </c>
      <c r="E1501" s="11">
        <v>44099</v>
      </c>
      <c r="F1501" s="5" t="s">
        <v>23</v>
      </c>
      <c r="G1501" s="6" t="s">
        <v>54</v>
      </c>
      <c r="H1501" s="5" t="s">
        <v>46</v>
      </c>
      <c r="Q1501" s="5">
        <v>63</v>
      </c>
      <c r="T1501" s="12">
        <f t="shared" si="25"/>
        <v>63</v>
      </c>
      <c r="U1501" s="5" t="s">
        <v>144</v>
      </c>
      <c r="V1501" s="14"/>
    </row>
    <row r="1502" spans="1:22" x14ac:dyDescent="0.3">
      <c r="A1502">
        <v>22</v>
      </c>
      <c r="B1502">
        <v>1</v>
      </c>
      <c r="C1502">
        <v>207739</v>
      </c>
      <c r="D1502" t="s">
        <v>22</v>
      </c>
      <c r="E1502" s="10">
        <v>44100</v>
      </c>
      <c r="F1502" t="s">
        <v>23</v>
      </c>
      <c r="G1502" s="3" t="s">
        <v>73</v>
      </c>
      <c r="H1502" t="s">
        <v>25</v>
      </c>
      <c r="O1502">
        <v>8</v>
      </c>
      <c r="P1502">
        <v>137</v>
      </c>
      <c r="Q1502">
        <v>1</v>
      </c>
      <c r="T1502" s="13">
        <f t="shared" si="25"/>
        <v>146</v>
      </c>
      <c r="U1502" t="s">
        <v>26</v>
      </c>
    </row>
    <row r="1503" spans="1:22" x14ac:dyDescent="0.3">
      <c r="A1503">
        <v>22</v>
      </c>
      <c r="B1503">
        <v>1</v>
      </c>
      <c r="C1503">
        <v>207739</v>
      </c>
      <c r="D1503" t="s">
        <v>22</v>
      </c>
      <c r="E1503" s="10">
        <v>44100</v>
      </c>
      <c r="F1503" t="s">
        <v>23</v>
      </c>
      <c r="G1503" s="3" t="s">
        <v>73</v>
      </c>
      <c r="H1503" t="s">
        <v>186</v>
      </c>
      <c r="O1503">
        <v>1</v>
      </c>
      <c r="T1503" s="13">
        <f t="shared" si="25"/>
        <v>1</v>
      </c>
      <c r="U1503" t="s">
        <v>26</v>
      </c>
    </row>
    <row r="1504" spans="1:22" x14ac:dyDescent="0.3">
      <c r="A1504">
        <v>22</v>
      </c>
      <c r="B1504">
        <v>1</v>
      </c>
      <c r="C1504">
        <v>207739</v>
      </c>
      <c r="D1504" t="s">
        <v>22</v>
      </c>
      <c r="E1504" s="10">
        <v>44100</v>
      </c>
      <c r="F1504" t="s">
        <v>23</v>
      </c>
      <c r="G1504" s="3" t="s">
        <v>73</v>
      </c>
      <c r="H1504" t="s">
        <v>274</v>
      </c>
      <c r="S1504">
        <v>12</v>
      </c>
      <c r="T1504" s="13">
        <f t="shared" si="25"/>
        <v>12</v>
      </c>
      <c r="U1504" t="s">
        <v>26</v>
      </c>
    </row>
    <row r="1505" spans="1:21" x14ac:dyDescent="0.3">
      <c r="A1505">
        <v>22</v>
      </c>
      <c r="B1505">
        <v>1</v>
      </c>
      <c r="C1505">
        <v>207739</v>
      </c>
      <c r="D1505" t="s">
        <v>22</v>
      </c>
      <c r="E1505" s="10">
        <v>44100</v>
      </c>
      <c r="F1505" t="s">
        <v>23</v>
      </c>
      <c r="G1505" s="3" t="s">
        <v>73</v>
      </c>
      <c r="H1505" t="s">
        <v>60</v>
      </c>
      <c r="S1505">
        <v>48</v>
      </c>
      <c r="T1505" s="13">
        <f t="shared" si="25"/>
        <v>48</v>
      </c>
      <c r="U1505" t="s">
        <v>26</v>
      </c>
    </row>
    <row r="1506" spans="1:21" x14ac:dyDescent="0.3">
      <c r="A1506">
        <v>22</v>
      </c>
      <c r="B1506">
        <v>1</v>
      </c>
      <c r="C1506">
        <v>207739</v>
      </c>
      <c r="D1506" t="s">
        <v>22</v>
      </c>
      <c r="E1506" s="10">
        <v>44100</v>
      </c>
      <c r="F1506" t="s">
        <v>23</v>
      </c>
      <c r="G1506" s="3" t="s">
        <v>73</v>
      </c>
      <c r="H1506" t="s">
        <v>69</v>
      </c>
      <c r="I1506">
        <v>1</v>
      </c>
      <c r="T1506" s="13">
        <f t="shared" si="25"/>
        <v>1</v>
      </c>
      <c r="U1506" t="s">
        <v>26</v>
      </c>
    </row>
    <row r="1507" spans="1:21" x14ac:dyDescent="0.3">
      <c r="A1507">
        <v>22</v>
      </c>
      <c r="B1507">
        <v>1</v>
      </c>
      <c r="C1507">
        <v>207739</v>
      </c>
      <c r="D1507" t="s">
        <v>22</v>
      </c>
      <c r="E1507" s="10">
        <v>44100</v>
      </c>
      <c r="F1507" t="s">
        <v>23</v>
      </c>
      <c r="G1507" s="3" t="s">
        <v>73</v>
      </c>
      <c r="H1507" t="s">
        <v>30</v>
      </c>
      <c r="S1507">
        <v>5</v>
      </c>
      <c r="T1507" s="13">
        <f t="shared" si="25"/>
        <v>5</v>
      </c>
      <c r="U1507" t="s">
        <v>26</v>
      </c>
    </row>
    <row r="1508" spans="1:21" x14ac:dyDescent="0.3">
      <c r="A1508">
        <v>22</v>
      </c>
      <c r="B1508">
        <v>1</v>
      </c>
      <c r="C1508">
        <v>207739</v>
      </c>
      <c r="D1508" t="s">
        <v>22</v>
      </c>
      <c r="E1508" s="10">
        <v>44100</v>
      </c>
      <c r="F1508" t="s">
        <v>23</v>
      </c>
      <c r="G1508" s="3" t="s">
        <v>73</v>
      </c>
      <c r="H1508" t="s">
        <v>31</v>
      </c>
      <c r="P1508">
        <v>2</v>
      </c>
      <c r="Q1508">
        <v>3</v>
      </c>
      <c r="T1508" s="13">
        <f t="shared" si="25"/>
        <v>5</v>
      </c>
      <c r="U1508" t="s">
        <v>26</v>
      </c>
    </row>
    <row r="1509" spans="1:21" x14ac:dyDescent="0.3">
      <c r="A1509">
        <v>22</v>
      </c>
      <c r="B1509">
        <v>1</v>
      </c>
      <c r="C1509">
        <v>207739</v>
      </c>
      <c r="D1509" t="s">
        <v>22</v>
      </c>
      <c r="E1509" s="10">
        <v>44100</v>
      </c>
      <c r="F1509" t="s">
        <v>23</v>
      </c>
      <c r="G1509" s="3" t="s">
        <v>73</v>
      </c>
      <c r="H1509" t="s">
        <v>37</v>
      </c>
      <c r="Q1509">
        <v>2</v>
      </c>
      <c r="T1509" s="13">
        <f t="shared" si="25"/>
        <v>2</v>
      </c>
      <c r="U1509" t="s">
        <v>26</v>
      </c>
    </row>
    <row r="1510" spans="1:21" x14ac:dyDescent="0.3">
      <c r="A1510">
        <v>22</v>
      </c>
      <c r="B1510">
        <v>1</v>
      </c>
      <c r="C1510">
        <v>207739</v>
      </c>
      <c r="D1510" t="s">
        <v>22</v>
      </c>
      <c r="E1510" s="10">
        <v>44100</v>
      </c>
      <c r="F1510" t="s">
        <v>23</v>
      </c>
      <c r="G1510" s="3" t="s">
        <v>73</v>
      </c>
      <c r="H1510" t="s">
        <v>34</v>
      </c>
      <c r="P1510">
        <v>1</v>
      </c>
      <c r="Q1510">
        <v>1</v>
      </c>
      <c r="R1510">
        <v>12</v>
      </c>
      <c r="T1510" s="13">
        <f t="shared" si="25"/>
        <v>14</v>
      </c>
      <c r="U1510" t="s">
        <v>26</v>
      </c>
    </row>
    <row r="1511" spans="1:21" x14ac:dyDescent="0.3">
      <c r="A1511">
        <v>22</v>
      </c>
      <c r="B1511">
        <v>1</v>
      </c>
      <c r="C1511">
        <v>207739</v>
      </c>
      <c r="D1511" t="s">
        <v>22</v>
      </c>
      <c r="E1511" s="10">
        <v>44100</v>
      </c>
      <c r="F1511" t="s">
        <v>23</v>
      </c>
      <c r="G1511" s="3" t="s">
        <v>73</v>
      </c>
      <c r="H1511" t="s">
        <v>35</v>
      </c>
      <c r="Q1511">
        <v>2</v>
      </c>
      <c r="T1511" s="13">
        <f t="shared" si="25"/>
        <v>2</v>
      </c>
      <c r="U1511" t="s">
        <v>26</v>
      </c>
    </row>
    <row r="1512" spans="1:21" x14ac:dyDescent="0.3">
      <c r="A1512">
        <v>22</v>
      </c>
      <c r="B1512">
        <v>1</v>
      </c>
      <c r="C1512">
        <v>207739</v>
      </c>
      <c r="D1512" t="s">
        <v>22</v>
      </c>
      <c r="E1512" s="10">
        <v>44100</v>
      </c>
      <c r="F1512" t="s">
        <v>23</v>
      </c>
      <c r="G1512" s="3" t="s">
        <v>73</v>
      </c>
      <c r="H1512" t="s">
        <v>43</v>
      </c>
      <c r="Q1512">
        <v>12</v>
      </c>
      <c r="R1512">
        <v>1</v>
      </c>
      <c r="T1512" s="13">
        <f t="shared" si="25"/>
        <v>13</v>
      </c>
      <c r="U1512" t="s">
        <v>26</v>
      </c>
    </row>
    <row r="1513" spans="1:21" x14ac:dyDescent="0.3">
      <c r="A1513">
        <v>22</v>
      </c>
      <c r="B1513">
        <v>1</v>
      </c>
      <c r="C1513">
        <v>207739</v>
      </c>
      <c r="D1513" t="s">
        <v>22</v>
      </c>
      <c r="E1513" s="10">
        <v>44100</v>
      </c>
      <c r="F1513" t="s">
        <v>23</v>
      </c>
      <c r="G1513" s="3" t="s">
        <v>73</v>
      </c>
      <c r="H1513" t="s">
        <v>45</v>
      </c>
      <c r="K1513">
        <v>8</v>
      </c>
      <c r="T1513" s="13">
        <f t="shared" si="25"/>
        <v>8</v>
      </c>
      <c r="U1513" t="s">
        <v>26</v>
      </c>
    </row>
    <row r="1514" spans="1:21" x14ac:dyDescent="0.3">
      <c r="A1514">
        <v>22</v>
      </c>
      <c r="B1514">
        <v>1</v>
      </c>
      <c r="C1514">
        <v>207739</v>
      </c>
      <c r="D1514" t="s">
        <v>22</v>
      </c>
      <c r="E1514" s="10">
        <v>44100</v>
      </c>
      <c r="F1514" t="s">
        <v>23</v>
      </c>
      <c r="G1514" s="3" t="s">
        <v>73</v>
      </c>
      <c r="H1514" t="s">
        <v>46</v>
      </c>
      <c r="Q1514">
        <v>7</v>
      </c>
      <c r="R1514">
        <v>1</v>
      </c>
      <c r="T1514" s="13">
        <f t="shared" si="25"/>
        <v>8</v>
      </c>
      <c r="U1514" t="s">
        <v>26</v>
      </c>
    </row>
    <row r="1515" spans="1:21" x14ac:dyDescent="0.3">
      <c r="A1515">
        <v>22</v>
      </c>
      <c r="B1515">
        <v>1</v>
      </c>
      <c r="C1515">
        <v>207739</v>
      </c>
      <c r="D1515" t="s">
        <v>22</v>
      </c>
      <c r="E1515" s="10">
        <v>44100</v>
      </c>
      <c r="F1515" t="s">
        <v>23</v>
      </c>
      <c r="G1515" s="3" t="s">
        <v>73</v>
      </c>
      <c r="H1515" t="s">
        <v>50</v>
      </c>
      <c r="S1515">
        <v>2</v>
      </c>
      <c r="T1515" s="13">
        <f t="shared" si="25"/>
        <v>2</v>
      </c>
      <c r="U1515" t="s">
        <v>26</v>
      </c>
    </row>
    <row r="1516" spans="1:21" x14ac:dyDescent="0.3">
      <c r="A1516">
        <v>22</v>
      </c>
      <c r="B1516">
        <v>1</v>
      </c>
      <c r="C1516">
        <v>207739</v>
      </c>
      <c r="D1516" t="s">
        <v>22</v>
      </c>
      <c r="E1516" s="10">
        <v>44100</v>
      </c>
      <c r="F1516" t="s">
        <v>23</v>
      </c>
      <c r="G1516" s="3" t="s">
        <v>73</v>
      </c>
      <c r="H1516" t="s">
        <v>41</v>
      </c>
      <c r="S1516">
        <v>2</v>
      </c>
      <c r="T1516" s="13">
        <f t="shared" si="25"/>
        <v>2</v>
      </c>
      <c r="U1516" t="s">
        <v>26</v>
      </c>
    </row>
    <row r="1517" spans="1:21" x14ac:dyDescent="0.3">
      <c r="A1517">
        <v>22</v>
      </c>
      <c r="B1517">
        <v>1</v>
      </c>
      <c r="C1517">
        <v>207739</v>
      </c>
      <c r="D1517" t="s">
        <v>22</v>
      </c>
      <c r="E1517" s="10">
        <v>44100</v>
      </c>
      <c r="F1517" t="s">
        <v>23</v>
      </c>
      <c r="G1517" s="3" t="s">
        <v>73</v>
      </c>
      <c r="H1517" t="s">
        <v>42</v>
      </c>
      <c r="S1517">
        <v>1</v>
      </c>
      <c r="T1517" s="13">
        <f t="shared" si="25"/>
        <v>1</v>
      </c>
      <c r="U1517" t="s">
        <v>26</v>
      </c>
    </row>
    <row r="1518" spans="1:21" x14ac:dyDescent="0.3">
      <c r="A1518">
        <v>22</v>
      </c>
      <c r="B1518">
        <v>1</v>
      </c>
      <c r="C1518">
        <v>207739</v>
      </c>
      <c r="D1518" t="s">
        <v>22</v>
      </c>
      <c r="E1518" s="10">
        <v>44100</v>
      </c>
      <c r="F1518" t="s">
        <v>23</v>
      </c>
      <c r="G1518" s="3" t="s">
        <v>73</v>
      </c>
      <c r="H1518" t="s">
        <v>51</v>
      </c>
      <c r="S1518">
        <v>1</v>
      </c>
      <c r="T1518" s="13">
        <f t="shared" si="25"/>
        <v>1</v>
      </c>
      <c r="U1518" t="s">
        <v>26</v>
      </c>
    </row>
    <row r="1519" spans="1:21" x14ac:dyDescent="0.3">
      <c r="A1519">
        <v>22</v>
      </c>
      <c r="B1519">
        <v>1</v>
      </c>
      <c r="C1519">
        <v>207739</v>
      </c>
      <c r="D1519" t="s">
        <v>22</v>
      </c>
      <c r="E1519" s="10">
        <v>44100</v>
      </c>
      <c r="F1519" t="s">
        <v>23</v>
      </c>
      <c r="G1519" s="3" t="s">
        <v>73</v>
      </c>
      <c r="H1519" t="s">
        <v>64</v>
      </c>
      <c r="S1519">
        <v>1</v>
      </c>
      <c r="T1519" s="13">
        <f t="shared" si="25"/>
        <v>1</v>
      </c>
      <c r="U1519" t="s">
        <v>26</v>
      </c>
    </row>
    <row r="1520" spans="1:21" x14ac:dyDescent="0.3">
      <c r="A1520">
        <v>22</v>
      </c>
      <c r="B1520">
        <v>1</v>
      </c>
      <c r="C1520">
        <v>207739</v>
      </c>
      <c r="D1520" t="s">
        <v>22</v>
      </c>
      <c r="E1520" s="10">
        <v>44100</v>
      </c>
      <c r="F1520" t="s">
        <v>23</v>
      </c>
      <c r="G1520" s="3" t="s">
        <v>52</v>
      </c>
      <c r="H1520" t="s">
        <v>141</v>
      </c>
      <c r="S1520">
        <v>1</v>
      </c>
      <c r="T1520" s="13">
        <f t="shared" si="25"/>
        <v>1</v>
      </c>
      <c r="U1520" t="s">
        <v>53</v>
      </c>
    </row>
    <row r="1521" spans="1:22" s="5" customFormat="1" ht="16.2" thickBot="1" x14ac:dyDescent="0.35">
      <c r="A1521" s="5">
        <v>22</v>
      </c>
      <c r="B1521" s="5">
        <v>1</v>
      </c>
      <c r="C1521" s="5">
        <v>207739</v>
      </c>
      <c r="D1521" s="5" t="s">
        <v>22</v>
      </c>
      <c r="E1521" s="11">
        <v>44100</v>
      </c>
      <c r="F1521" s="5" t="s">
        <v>23</v>
      </c>
      <c r="G1521" s="6" t="s">
        <v>52</v>
      </c>
      <c r="H1521" s="5" t="s">
        <v>29</v>
      </c>
      <c r="S1521" s="5">
        <v>1</v>
      </c>
      <c r="T1521" s="12">
        <f t="shared" si="25"/>
        <v>1</v>
      </c>
      <c r="U1521" s="5" t="s">
        <v>53</v>
      </c>
      <c r="V1521" s="14"/>
    </row>
    <row r="1522" spans="1:22" x14ac:dyDescent="0.3">
      <c r="A1522">
        <v>22</v>
      </c>
      <c r="B1522">
        <v>2</v>
      </c>
      <c r="C1522">
        <v>207740</v>
      </c>
      <c r="D1522" t="s">
        <v>22</v>
      </c>
      <c r="E1522" s="10">
        <v>44100</v>
      </c>
      <c r="F1522" t="s">
        <v>23</v>
      </c>
      <c r="G1522" s="3" t="s">
        <v>28</v>
      </c>
      <c r="H1522" t="s">
        <v>25</v>
      </c>
      <c r="O1522">
        <v>7</v>
      </c>
      <c r="P1522">
        <v>63</v>
      </c>
      <c r="T1522" s="13">
        <f t="shared" si="25"/>
        <v>70</v>
      </c>
      <c r="U1522" t="s">
        <v>26</v>
      </c>
    </row>
    <row r="1523" spans="1:22" x14ac:dyDescent="0.3">
      <c r="A1523">
        <v>22</v>
      </c>
      <c r="B1523">
        <v>2</v>
      </c>
      <c r="C1523">
        <v>207740</v>
      </c>
      <c r="D1523" t="s">
        <v>22</v>
      </c>
      <c r="E1523" s="10">
        <v>44100</v>
      </c>
      <c r="F1523" t="s">
        <v>23</v>
      </c>
      <c r="G1523" s="3" t="s">
        <v>28</v>
      </c>
      <c r="H1523" t="s">
        <v>27</v>
      </c>
      <c r="P1523">
        <v>1</v>
      </c>
      <c r="T1523" s="13">
        <f t="shared" si="25"/>
        <v>1</v>
      </c>
      <c r="U1523" t="s">
        <v>26</v>
      </c>
    </row>
    <row r="1524" spans="1:22" x14ac:dyDescent="0.3">
      <c r="A1524">
        <v>22</v>
      </c>
      <c r="B1524">
        <v>2</v>
      </c>
      <c r="C1524">
        <v>207740</v>
      </c>
      <c r="D1524" t="s">
        <v>22</v>
      </c>
      <c r="E1524" s="10">
        <v>44100</v>
      </c>
      <c r="F1524" t="s">
        <v>23</v>
      </c>
      <c r="G1524" s="3" t="s">
        <v>28</v>
      </c>
      <c r="H1524" t="s">
        <v>69</v>
      </c>
      <c r="I1524">
        <v>2</v>
      </c>
      <c r="T1524" s="13">
        <f t="shared" si="25"/>
        <v>2</v>
      </c>
      <c r="U1524" t="s">
        <v>26</v>
      </c>
    </row>
    <row r="1525" spans="1:22" x14ac:dyDescent="0.3">
      <c r="A1525">
        <v>22</v>
      </c>
      <c r="B1525">
        <v>2</v>
      </c>
      <c r="C1525">
        <v>207740</v>
      </c>
      <c r="D1525" t="s">
        <v>22</v>
      </c>
      <c r="E1525" s="10">
        <v>44100</v>
      </c>
      <c r="F1525" t="s">
        <v>23</v>
      </c>
      <c r="G1525" s="3" t="s">
        <v>73</v>
      </c>
      <c r="H1525" t="s">
        <v>267</v>
      </c>
      <c r="S1525">
        <v>2</v>
      </c>
      <c r="T1525" s="13">
        <f t="shared" ref="T1525:T1589" si="26">SUM(I1525:S1525)</f>
        <v>2</v>
      </c>
      <c r="U1525" t="s">
        <v>26</v>
      </c>
    </row>
    <row r="1526" spans="1:22" x14ac:dyDescent="0.3">
      <c r="A1526">
        <v>22</v>
      </c>
      <c r="B1526">
        <v>2</v>
      </c>
      <c r="C1526">
        <v>207740</v>
      </c>
      <c r="D1526" t="s">
        <v>22</v>
      </c>
      <c r="E1526" s="10">
        <v>44100</v>
      </c>
      <c r="F1526" t="s">
        <v>23</v>
      </c>
      <c r="G1526" s="3" t="s">
        <v>73</v>
      </c>
      <c r="H1526" t="s">
        <v>60</v>
      </c>
      <c r="S1526">
        <v>7</v>
      </c>
      <c r="T1526" s="13">
        <f t="shared" si="26"/>
        <v>7</v>
      </c>
      <c r="U1526" t="s">
        <v>26</v>
      </c>
    </row>
    <row r="1527" spans="1:22" x14ac:dyDescent="0.3">
      <c r="A1527">
        <v>22</v>
      </c>
      <c r="B1527">
        <v>2</v>
      </c>
      <c r="C1527">
        <v>207740</v>
      </c>
      <c r="D1527" t="s">
        <v>22</v>
      </c>
      <c r="E1527" s="10">
        <v>44100</v>
      </c>
      <c r="F1527" t="s">
        <v>23</v>
      </c>
      <c r="G1527" s="3" t="s">
        <v>73</v>
      </c>
      <c r="H1527" t="s">
        <v>30</v>
      </c>
      <c r="I1527">
        <v>9</v>
      </c>
      <c r="J1527">
        <v>14</v>
      </c>
      <c r="T1527" s="13">
        <f t="shared" si="26"/>
        <v>23</v>
      </c>
      <c r="U1527" t="s">
        <v>26</v>
      </c>
    </row>
    <row r="1528" spans="1:22" x14ac:dyDescent="0.3">
      <c r="A1528">
        <v>22</v>
      </c>
      <c r="B1528">
        <v>2</v>
      </c>
      <c r="C1528">
        <v>207740</v>
      </c>
      <c r="D1528" t="s">
        <v>22</v>
      </c>
      <c r="E1528" s="10">
        <v>44100</v>
      </c>
      <c r="F1528" t="s">
        <v>23</v>
      </c>
      <c r="G1528" s="3" t="s">
        <v>73</v>
      </c>
      <c r="H1528" t="s">
        <v>33</v>
      </c>
      <c r="R1528">
        <v>8</v>
      </c>
      <c r="T1528" s="13">
        <f t="shared" si="26"/>
        <v>8</v>
      </c>
      <c r="U1528" t="s">
        <v>26</v>
      </c>
    </row>
    <row r="1529" spans="1:22" x14ac:dyDescent="0.3">
      <c r="A1529">
        <v>22</v>
      </c>
      <c r="B1529">
        <v>2</v>
      </c>
      <c r="C1529">
        <v>207740</v>
      </c>
      <c r="D1529" t="s">
        <v>22</v>
      </c>
      <c r="E1529" s="10">
        <v>44100</v>
      </c>
      <c r="F1529" t="s">
        <v>23</v>
      </c>
      <c r="G1529" s="3" t="s">
        <v>73</v>
      </c>
      <c r="H1529" t="s">
        <v>37</v>
      </c>
      <c r="P1529">
        <v>14</v>
      </c>
      <c r="Q1529">
        <v>13</v>
      </c>
      <c r="R1529">
        <v>4</v>
      </c>
      <c r="T1529" s="13">
        <f t="shared" si="26"/>
        <v>31</v>
      </c>
      <c r="U1529" t="s">
        <v>26</v>
      </c>
    </row>
    <row r="1530" spans="1:22" x14ac:dyDescent="0.3">
      <c r="A1530">
        <v>22</v>
      </c>
      <c r="B1530">
        <v>2</v>
      </c>
      <c r="C1530">
        <v>207740</v>
      </c>
      <c r="D1530" t="s">
        <v>22</v>
      </c>
      <c r="E1530" s="10">
        <v>44100</v>
      </c>
      <c r="F1530" t="s">
        <v>23</v>
      </c>
      <c r="G1530" s="3" t="s">
        <v>73</v>
      </c>
      <c r="H1530" t="s">
        <v>31</v>
      </c>
      <c r="O1530">
        <v>7</v>
      </c>
      <c r="P1530">
        <v>3</v>
      </c>
      <c r="Q1530">
        <v>7</v>
      </c>
      <c r="R1530">
        <v>1</v>
      </c>
      <c r="T1530" s="13">
        <f t="shared" si="26"/>
        <v>18</v>
      </c>
      <c r="U1530" t="s">
        <v>26</v>
      </c>
    </row>
    <row r="1531" spans="1:22" x14ac:dyDescent="0.3">
      <c r="A1531">
        <v>22</v>
      </c>
      <c r="B1531">
        <v>2</v>
      </c>
      <c r="C1531">
        <v>207740</v>
      </c>
      <c r="D1531" t="s">
        <v>22</v>
      </c>
      <c r="E1531" s="10">
        <v>44100</v>
      </c>
      <c r="F1531" t="s">
        <v>23</v>
      </c>
      <c r="G1531" s="3" t="s">
        <v>73</v>
      </c>
      <c r="H1531" t="s">
        <v>34</v>
      </c>
      <c r="Q1531">
        <v>2</v>
      </c>
      <c r="R1531">
        <v>5</v>
      </c>
      <c r="T1531" s="13">
        <f t="shared" si="26"/>
        <v>7</v>
      </c>
      <c r="U1531" t="s">
        <v>26</v>
      </c>
    </row>
    <row r="1532" spans="1:22" x14ac:dyDescent="0.3">
      <c r="A1532">
        <v>22</v>
      </c>
      <c r="B1532">
        <v>2</v>
      </c>
      <c r="C1532">
        <v>207740</v>
      </c>
      <c r="D1532" t="s">
        <v>22</v>
      </c>
      <c r="E1532" s="10">
        <v>44100</v>
      </c>
      <c r="F1532" t="s">
        <v>23</v>
      </c>
      <c r="G1532" s="3" t="s">
        <v>73</v>
      </c>
      <c r="H1532" t="s">
        <v>38</v>
      </c>
      <c r="O1532">
        <v>13</v>
      </c>
      <c r="P1532">
        <v>9</v>
      </c>
      <c r="Q1532">
        <v>17</v>
      </c>
      <c r="R1532">
        <v>9</v>
      </c>
      <c r="T1532" s="13">
        <f t="shared" si="26"/>
        <v>48</v>
      </c>
      <c r="U1532" t="s">
        <v>26</v>
      </c>
    </row>
    <row r="1533" spans="1:22" x14ac:dyDescent="0.3">
      <c r="A1533">
        <v>22</v>
      </c>
      <c r="B1533">
        <v>2</v>
      </c>
      <c r="C1533">
        <v>207740</v>
      </c>
      <c r="D1533" t="s">
        <v>22</v>
      </c>
      <c r="E1533" s="10">
        <v>44100</v>
      </c>
      <c r="F1533" t="s">
        <v>23</v>
      </c>
      <c r="G1533" s="3" t="s">
        <v>73</v>
      </c>
      <c r="H1533" t="s">
        <v>35</v>
      </c>
      <c r="R1533">
        <v>1</v>
      </c>
      <c r="T1533" s="13">
        <f t="shared" si="26"/>
        <v>1</v>
      </c>
      <c r="U1533" t="s">
        <v>26</v>
      </c>
    </row>
    <row r="1534" spans="1:22" x14ac:dyDescent="0.3">
      <c r="A1534">
        <v>22</v>
      </c>
      <c r="B1534">
        <v>2</v>
      </c>
      <c r="C1534">
        <v>207740</v>
      </c>
      <c r="D1534" t="s">
        <v>22</v>
      </c>
      <c r="E1534" s="10">
        <v>44100</v>
      </c>
      <c r="F1534" t="s">
        <v>23</v>
      </c>
      <c r="G1534" s="3" t="s">
        <v>73</v>
      </c>
      <c r="H1534" t="s">
        <v>66</v>
      </c>
      <c r="O1534">
        <v>1</v>
      </c>
      <c r="P1534">
        <v>1</v>
      </c>
      <c r="T1534" s="13">
        <f t="shared" si="26"/>
        <v>2</v>
      </c>
      <c r="U1534" t="s">
        <v>26</v>
      </c>
    </row>
    <row r="1535" spans="1:22" x14ac:dyDescent="0.3">
      <c r="A1535">
        <v>22</v>
      </c>
      <c r="B1535">
        <v>2</v>
      </c>
      <c r="C1535">
        <v>207740</v>
      </c>
      <c r="D1535" t="s">
        <v>22</v>
      </c>
      <c r="E1535" s="10">
        <v>44100</v>
      </c>
      <c r="F1535" t="s">
        <v>23</v>
      </c>
      <c r="G1535" s="3" t="s">
        <v>73</v>
      </c>
      <c r="H1535" t="s">
        <v>41</v>
      </c>
      <c r="S1535">
        <v>7</v>
      </c>
      <c r="T1535" s="13">
        <f t="shared" si="26"/>
        <v>7</v>
      </c>
      <c r="U1535" t="s">
        <v>26</v>
      </c>
    </row>
    <row r="1536" spans="1:22" x14ac:dyDescent="0.3">
      <c r="A1536">
        <v>22</v>
      </c>
      <c r="B1536">
        <v>2</v>
      </c>
      <c r="C1536">
        <v>207740</v>
      </c>
      <c r="D1536" t="s">
        <v>22</v>
      </c>
      <c r="E1536" s="10">
        <v>44100</v>
      </c>
      <c r="F1536" t="s">
        <v>23</v>
      </c>
      <c r="G1536" s="3" t="s">
        <v>73</v>
      </c>
      <c r="H1536" t="s">
        <v>55</v>
      </c>
      <c r="S1536">
        <v>1</v>
      </c>
      <c r="T1536" s="13">
        <f t="shared" si="26"/>
        <v>1</v>
      </c>
      <c r="U1536" t="s">
        <v>26</v>
      </c>
    </row>
    <row r="1537" spans="1:22" x14ac:dyDescent="0.3">
      <c r="A1537">
        <v>22</v>
      </c>
      <c r="B1537">
        <v>2</v>
      </c>
      <c r="C1537">
        <v>207740</v>
      </c>
      <c r="D1537" t="s">
        <v>22</v>
      </c>
      <c r="E1537" s="10">
        <v>44100</v>
      </c>
      <c r="F1537" t="s">
        <v>23</v>
      </c>
      <c r="G1537" s="3" t="s">
        <v>73</v>
      </c>
      <c r="H1537" t="s">
        <v>50</v>
      </c>
      <c r="S1537">
        <v>2</v>
      </c>
      <c r="T1537" s="13">
        <f t="shared" si="26"/>
        <v>2</v>
      </c>
      <c r="U1537" t="s">
        <v>26</v>
      </c>
    </row>
    <row r="1538" spans="1:22" x14ac:dyDescent="0.3">
      <c r="A1538">
        <v>22</v>
      </c>
      <c r="B1538">
        <v>2</v>
      </c>
      <c r="C1538">
        <v>207740</v>
      </c>
      <c r="D1538" t="s">
        <v>22</v>
      </c>
      <c r="E1538" s="10">
        <v>44100</v>
      </c>
      <c r="F1538" t="s">
        <v>23</v>
      </c>
      <c r="G1538" s="3" t="s">
        <v>73</v>
      </c>
      <c r="H1538" t="s">
        <v>51</v>
      </c>
      <c r="S1538">
        <v>2</v>
      </c>
      <c r="T1538" s="13">
        <f t="shared" si="26"/>
        <v>2</v>
      </c>
      <c r="U1538" t="s">
        <v>26</v>
      </c>
    </row>
    <row r="1539" spans="1:22" x14ac:dyDescent="0.3">
      <c r="A1539">
        <v>22</v>
      </c>
      <c r="B1539">
        <v>2</v>
      </c>
      <c r="C1539">
        <v>207740</v>
      </c>
      <c r="D1539" t="s">
        <v>22</v>
      </c>
      <c r="E1539" s="10">
        <v>44100</v>
      </c>
      <c r="F1539" t="s">
        <v>23</v>
      </c>
      <c r="G1539" s="3" t="s">
        <v>73</v>
      </c>
      <c r="H1539" t="s">
        <v>46</v>
      </c>
      <c r="Q1539">
        <v>22</v>
      </c>
      <c r="R1539">
        <v>2</v>
      </c>
      <c r="T1539" s="13">
        <f t="shared" si="26"/>
        <v>24</v>
      </c>
      <c r="U1539" t="s">
        <v>26</v>
      </c>
    </row>
    <row r="1540" spans="1:22" x14ac:dyDescent="0.3">
      <c r="A1540">
        <v>22</v>
      </c>
      <c r="B1540">
        <v>2</v>
      </c>
      <c r="C1540">
        <v>207740</v>
      </c>
      <c r="D1540" t="s">
        <v>22</v>
      </c>
      <c r="E1540" s="10">
        <v>44100</v>
      </c>
      <c r="F1540" t="s">
        <v>23</v>
      </c>
      <c r="G1540" s="3" t="s">
        <v>73</v>
      </c>
      <c r="H1540" t="s">
        <v>45</v>
      </c>
      <c r="I1540">
        <v>2</v>
      </c>
      <c r="J1540">
        <v>5</v>
      </c>
      <c r="T1540" s="13">
        <f t="shared" si="26"/>
        <v>7</v>
      </c>
      <c r="U1540" t="s">
        <v>26</v>
      </c>
    </row>
    <row r="1541" spans="1:22" x14ac:dyDescent="0.3">
      <c r="A1541">
        <v>22</v>
      </c>
      <c r="B1541">
        <v>2</v>
      </c>
      <c r="C1541">
        <v>207740</v>
      </c>
      <c r="D1541" t="s">
        <v>22</v>
      </c>
      <c r="E1541" s="10">
        <v>44100</v>
      </c>
      <c r="F1541" t="s">
        <v>23</v>
      </c>
      <c r="G1541" s="3" t="s">
        <v>73</v>
      </c>
      <c r="H1541" t="s">
        <v>43</v>
      </c>
      <c r="J1541">
        <v>2</v>
      </c>
      <c r="Q1541">
        <v>8</v>
      </c>
      <c r="R1541">
        <v>2</v>
      </c>
      <c r="T1541" s="13">
        <f t="shared" si="26"/>
        <v>12</v>
      </c>
      <c r="U1541" t="s">
        <v>26</v>
      </c>
    </row>
    <row r="1542" spans="1:22" x14ac:dyDescent="0.3">
      <c r="A1542">
        <v>22</v>
      </c>
      <c r="B1542">
        <v>2</v>
      </c>
      <c r="C1542">
        <v>207740</v>
      </c>
      <c r="D1542" t="s">
        <v>22</v>
      </c>
      <c r="E1542" s="10">
        <v>44100</v>
      </c>
      <c r="F1542" t="s">
        <v>23</v>
      </c>
      <c r="G1542" s="3" t="s">
        <v>52</v>
      </c>
      <c r="H1542" t="s">
        <v>35</v>
      </c>
      <c r="Q1542">
        <v>1</v>
      </c>
      <c r="T1542" s="13">
        <f t="shared" si="26"/>
        <v>1</v>
      </c>
      <c r="U1542" t="s">
        <v>26</v>
      </c>
    </row>
    <row r="1543" spans="1:22" x14ac:dyDescent="0.3">
      <c r="A1543">
        <v>22</v>
      </c>
      <c r="B1543">
        <v>2</v>
      </c>
      <c r="C1543">
        <v>207740</v>
      </c>
      <c r="D1543" t="s">
        <v>22</v>
      </c>
      <c r="E1543" s="10">
        <v>44100</v>
      </c>
      <c r="F1543" t="s">
        <v>23</v>
      </c>
      <c r="G1543" s="3" t="s">
        <v>52</v>
      </c>
      <c r="H1543" t="s">
        <v>82</v>
      </c>
      <c r="S1543">
        <v>2</v>
      </c>
      <c r="T1543" s="13">
        <f t="shared" si="26"/>
        <v>2</v>
      </c>
      <c r="U1543" t="s">
        <v>53</v>
      </c>
    </row>
    <row r="1544" spans="1:22" x14ac:dyDescent="0.3">
      <c r="A1544">
        <v>22</v>
      </c>
      <c r="B1544">
        <v>2</v>
      </c>
      <c r="C1544">
        <v>207740</v>
      </c>
      <c r="D1544" t="s">
        <v>22</v>
      </c>
      <c r="E1544" s="10">
        <v>44100</v>
      </c>
      <c r="F1544" t="s">
        <v>23</v>
      </c>
      <c r="G1544" s="3" t="s">
        <v>52</v>
      </c>
      <c r="H1544" t="s">
        <v>141</v>
      </c>
      <c r="S1544">
        <v>1</v>
      </c>
      <c r="T1544" s="13">
        <f t="shared" si="26"/>
        <v>1</v>
      </c>
      <c r="U1544" t="s">
        <v>53</v>
      </c>
    </row>
    <row r="1545" spans="1:22" s="5" customFormat="1" ht="16.2" thickBot="1" x14ac:dyDescent="0.35">
      <c r="A1545" s="5">
        <v>22</v>
      </c>
      <c r="B1545" s="5">
        <v>2</v>
      </c>
      <c r="C1545" s="5">
        <v>207740</v>
      </c>
      <c r="D1545" s="5" t="s">
        <v>22</v>
      </c>
      <c r="E1545" s="11">
        <v>44100</v>
      </c>
      <c r="F1545" s="5" t="s">
        <v>23</v>
      </c>
      <c r="G1545" s="6" t="s">
        <v>52</v>
      </c>
      <c r="H1545" s="5" t="s">
        <v>244</v>
      </c>
      <c r="S1545" s="5">
        <v>1</v>
      </c>
      <c r="T1545" s="12">
        <f t="shared" si="26"/>
        <v>1</v>
      </c>
      <c r="U1545" s="5" t="s">
        <v>53</v>
      </c>
      <c r="V1545" s="14"/>
    </row>
    <row r="1546" spans="1:22" x14ac:dyDescent="0.3">
      <c r="A1546">
        <v>22</v>
      </c>
      <c r="B1546">
        <v>3</v>
      </c>
      <c r="C1546">
        <v>207741</v>
      </c>
      <c r="D1546" t="s">
        <v>22</v>
      </c>
      <c r="E1546" s="10">
        <v>44100</v>
      </c>
      <c r="F1546" t="s">
        <v>23</v>
      </c>
      <c r="G1546" s="3" t="s">
        <v>101</v>
      </c>
      <c r="H1546" t="s">
        <v>25</v>
      </c>
      <c r="L1546">
        <v>1</v>
      </c>
      <c r="M1546">
        <v>2</v>
      </c>
      <c r="N1546">
        <v>22</v>
      </c>
      <c r="O1546">
        <v>21</v>
      </c>
      <c r="P1546">
        <v>31</v>
      </c>
      <c r="Q1546">
        <v>1</v>
      </c>
      <c r="T1546" s="13">
        <f t="shared" si="26"/>
        <v>78</v>
      </c>
      <c r="U1546" t="s">
        <v>26</v>
      </c>
    </row>
    <row r="1547" spans="1:22" x14ac:dyDescent="0.3">
      <c r="A1547">
        <v>22</v>
      </c>
      <c r="B1547">
        <v>3</v>
      </c>
      <c r="C1547">
        <v>207741</v>
      </c>
      <c r="D1547" t="s">
        <v>22</v>
      </c>
      <c r="E1547" s="10">
        <v>44100</v>
      </c>
      <c r="F1547" t="s">
        <v>23</v>
      </c>
      <c r="G1547" s="3" t="s">
        <v>101</v>
      </c>
      <c r="H1547" t="s">
        <v>69</v>
      </c>
      <c r="I1547">
        <v>2</v>
      </c>
      <c r="T1547" s="13">
        <f t="shared" si="26"/>
        <v>2</v>
      </c>
      <c r="U1547" t="s">
        <v>26</v>
      </c>
    </row>
    <row r="1548" spans="1:22" x14ac:dyDescent="0.3">
      <c r="A1548">
        <v>22</v>
      </c>
      <c r="B1548">
        <v>3</v>
      </c>
      <c r="C1548">
        <v>207741</v>
      </c>
      <c r="D1548" t="s">
        <v>22</v>
      </c>
      <c r="E1548" s="10">
        <v>44100</v>
      </c>
      <c r="F1548" t="s">
        <v>23</v>
      </c>
      <c r="G1548" s="3" t="s">
        <v>48</v>
      </c>
      <c r="H1548" t="s">
        <v>30</v>
      </c>
      <c r="I1548">
        <v>11</v>
      </c>
      <c r="J1548">
        <v>11</v>
      </c>
      <c r="T1548" s="13">
        <f t="shared" si="26"/>
        <v>22</v>
      </c>
      <c r="U1548" t="s">
        <v>26</v>
      </c>
    </row>
    <row r="1549" spans="1:22" x14ac:dyDescent="0.3">
      <c r="A1549">
        <v>22</v>
      </c>
      <c r="B1549">
        <v>3</v>
      </c>
      <c r="C1549">
        <v>207741</v>
      </c>
      <c r="D1549" t="s">
        <v>22</v>
      </c>
      <c r="E1549" s="10">
        <v>44100</v>
      </c>
      <c r="F1549" t="s">
        <v>23</v>
      </c>
      <c r="G1549" s="3" t="s">
        <v>48</v>
      </c>
      <c r="H1549" t="s">
        <v>31</v>
      </c>
      <c r="O1549">
        <v>1</v>
      </c>
      <c r="P1549">
        <v>5</v>
      </c>
      <c r="Q1549">
        <v>5</v>
      </c>
      <c r="R1549">
        <v>1</v>
      </c>
      <c r="T1549" s="13">
        <f t="shared" si="26"/>
        <v>12</v>
      </c>
      <c r="U1549" t="s">
        <v>26</v>
      </c>
    </row>
    <row r="1550" spans="1:22" x14ac:dyDescent="0.3">
      <c r="A1550">
        <v>22</v>
      </c>
      <c r="B1550">
        <v>3</v>
      </c>
      <c r="C1550">
        <v>207741</v>
      </c>
      <c r="D1550" t="s">
        <v>22</v>
      </c>
      <c r="E1550" s="10">
        <v>44100</v>
      </c>
      <c r="F1550" t="s">
        <v>23</v>
      </c>
      <c r="G1550" s="3" t="s">
        <v>48</v>
      </c>
      <c r="H1550" t="s">
        <v>37</v>
      </c>
      <c r="O1550">
        <v>4</v>
      </c>
      <c r="P1550">
        <v>9</v>
      </c>
      <c r="Q1550">
        <v>50</v>
      </c>
      <c r="R1550">
        <v>9</v>
      </c>
      <c r="T1550" s="13">
        <f t="shared" si="26"/>
        <v>72</v>
      </c>
      <c r="U1550" t="s">
        <v>26</v>
      </c>
    </row>
    <row r="1551" spans="1:22" x14ac:dyDescent="0.3">
      <c r="A1551">
        <v>22</v>
      </c>
      <c r="B1551">
        <v>3</v>
      </c>
      <c r="C1551">
        <v>207741</v>
      </c>
      <c r="D1551" t="s">
        <v>22</v>
      </c>
      <c r="E1551" s="10">
        <v>44100</v>
      </c>
      <c r="F1551" t="s">
        <v>23</v>
      </c>
      <c r="G1551" s="3" t="s">
        <v>48</v>
      </c>
      <c r="H1551" t="s">
        <v>38</v>
      </c>
      <c r="Q1551">
        <v>23</v>
      </c>
      <c r="R1551">
        <v>21</v>
      </c>
      <c r="T1551" s="13">
        <f t="shared" si="26"/>
        <v>44</v>
      </c>
      <c r="U1551" t="s">
        <v>26</v>
      </c>
    </row>
    <row r="1552" spans="1:22" x14ac:dyDescent="0.3">
      <c r="A1552">
        <v>22</v>
      </c>
      <c r="B1552">
        <v>3</v>
      </c>
      <c r="C1552">
        <v>207741</v>
      </c>
      <c r="D1552" t="s">
        <v>22</v>
      </c>
      <c r="E1552" s="10">
        <v>44100</v>
      </c>
      <c r="F1552" t="s">
        <v>23</v>
      </c>
      <c r="G1552" s="3" t="s">
        <v>48</v>
      </c>
      <c r="H1552" t="s">
        <v>39</v>
      </c>
      <c r="P1552">
        <v>1</v>
      </c>
      <c r="Q1552">
        <v>1</v>
      </c>
      <c r="T1552" s="13">
        <f t="shared" si="26"/>
        <v>2</v>
      </c>
      <c r="U1552" t="s">
        <v>26</v>
      </c>
    </row>
    <row r="1553" spans="1:22" x14ac:dyDescent="0.3">
      <c r="A1553">
        <v>22</v>
      </c>
      <c r="B1553">
        <v>3</v>
      </c>
      <c r="C1553">
        <v>207741</v>
      </c>
      <c r="D1553" t="s">
        <v>22</v>
      </c>
      <c r="E1553" s="10">
        <v>44100</v>
      </c>
      <c r="F1553" t="s">
        <v>23</v>
      </c>
      <c r="G1553" s="3" t="s">
        <v>48</v>
      </c>
      <c r="H1553" t="s">
        <v>35</v>
      </c>
      <c r="R1553">
        <v>1</v>
      </c>
      <c r="T1553" s="13">
        <f t="shared" si="26"/>
        <v>1</v>
      </c>
      <c r="U1553" t="s">
        <v>26</v>
      </c>
    </row>
    <row r="1554" spans="1:22" x14ac:dyDescent="0.3">
      <c r="A1554">
        <v>22</v>
      </c>
      <c r="B1554">
        <v>3</v>
      </c>
      <c r="C1554">
        <v>207741</v>
      </c>
      <c r="D1554" t="s">
        <v>22</v>
      </c>
      <c r="E1554" s="10">
        <v>44100</v>
      </c>
      <c r="F1554" t="s">
        <v>23</v>
      </c>
      <c r="G1554" s="3" t="s">
        <v>48</v>
      </c>
      <c r="H1554" t="s">
        <v>33</v>
      </c>
      <c r="R1554">
        <v>3</v>
      </c>
      <c r="T1554" s="13">
        <f t="shared" si="26"/>
        <v>3</v>
      </c>
      <c r="U1554" t="s">
        <v>26</v>
      </c>
    </row>
    <row r="1555" spans="1:22" x14ac:dyDescent="0.3">
      <c r="A1555">
        <v>22</v>
      </c>
      <c r="B1555">
        <v>3</v>
      </c>
      <c r="C1555">
        <v>207741</v>
      </c>
      <c r="D1555" t="s">
        <v>22</v>
      </c>
      <c r="E1555" s="10">
        <v>44100</v>
      </c>
      <c r="F1555" t="s">
        <v>23</v>
      </c>
      <c r="G1555" s="3" t="s">
        <v>48</v>
      </c>
      <c r="H1555" t="s">
        <v>32</v>
      </c>
      <c r="O1555">
        <v>11</v>
      </c>
      <c r="P1555">
        <v>12</v>
      </c>
      <c r="T1555" s="13">
        <f t="shared" si="26"/>
        <v>23</v>
      </c>
      <c r="U1555" t="s">
        <v>26</v>
      </c>
    </row>
    <row r="1556" spans="1:22" x14ac:dyDescent="0.3">
      <c r="A1556">
        <v>22</v>
      </c>
      <c r="B1556">
        <v>3</v>
      </c>
      <c r="C1556">
        <v>207741</v>
      </c>
      <c r="D1556" t="s">
        <v>22</v>
      </c>
      <c r="E1556" s="10">
        <v>44100</v>
      </c>
      <c r="F1556" t="s">
        <v>23</v>
      </c>
      <c r="G1556" s="3" t="s">
        <v>48</v>
      </c>
      <c r="H1556" t="s">
        <v>50</v>
      </c>
      <c r="S1556">
        <v>1</v>
      </c>
      <c r="T1556" s="13">
        <f t="shared" si="26"/>
        <v>1</v>
      </c>
      <c r="U1556" t="s">
        <v>26</v>
      </c>
    </row>
    <row r="1557" spans="1:22" x14ac:dyDescent="0.3">
      <c r="A1557">
        <v>22</v>
      </c>
      <c r="B1557">
        <v>3</v>
      </c>
      <c r="C1557">
        <v>207741</v>
      </c>
      <c r="D1557" t="s">
        <v>22</v>
      </c>
      <c r="E1557" s="10">
        <v>44100</v>
      </c>
      <c r="F1557" t="s">
        <v>23</v>
      </c>
      <c r="G1557" s="3" t="s">
        <v>48</v>
      </c>
      <c r="H1557" t="s">
        <v>55</v>
      </c>
      <c r="S1557">
        <v>2</v>
      </c>
      <c r="T1557" s="13">
        <f t="shared" si="26"/>
        <v>2</v>
      </c>
      <c r="U1557" t="s">
        <v>26</v>
      </c>
    </row>
    <row r="1558" spans="1:22" x14ac:dyDescent="0.3">
      <c r="A1558">
        <v>22</v>
      </c>
      <c r="B1558">
        <v>3</v>
      </c>
      <c r="C1558">
        <v>207741</v>
      </c>
      <c r="D1558" t="s">
        <v>22</v>
      </c>
      <c r="E1558" s="10">
        <v>44100</v>
      </c>
      <c r="F1558" t="s">
        <v>23</v>
      </c>
      <c r="G1558" s="3" t="s">
        <v>48</v>
      </c>
      <c r="H1558" t="s">
        <v>41</v>
      </c>
      <c r="S1558">
        <v>3</v>
      </c>
      <c r="T1558" s="13">
        <f t="shared" si="26"/>
        <v>3</v>
      </c>
      <c r="U1558" t="s">
        <v>26</v>
      </c>
    </row>
    <row r="1559" spans="1:22" x14ac:dyDescent="0.3">
      <c r="A1559">
        <v>22</v>
      </c>
      <c r="B1559">
        <v>3</v>
      </c>
      <c r="C1559">
        <v>207741</v>
      </c>
      <c r="D1559" t="s">
        <v>22</v>
      </c>
      <c r="E1559" s="10">
        <v>44100</v>
      </c>
      <c r="F1559" t="s">
        <v>23</v>
      </c>
      <c r="G1559" s="3" t="s">
        <v>48</v>
      </c>
      <c r="H1559" t="s">
        <v>74</v>
      </c>
      <c r="Q1559">
        <v>1</v>
      </c>
      <c r="T1559" s="13">
        <f t="shared" si="26"/>
        <v>1</v>
      </c>
      <c r="U1559" t="s">
        <v>26</v>
      </c>
    </row>
    <row r="1560" spans="1:22" x14ac:dyDescent="0.3">
      <c r="A1560">
        <v>22</v>
      </c>
      <c r="B1560">
        <v>3</v>
      </c>
      <c r="C1560">
        <v>207741</v>
      </c>
      <c r="D1560" t="s">
        <v>22</v>
      </c>
      <c r="E1560" s="10">
        <v>44100</v>
      </c>
      <c r="F1560" t="s">
        <v>23</v>
      </c>
      <c r="G1560" s="3" t="s">
        <v>48</v>
      </c>
      <c r="H1560" t="s">
        <v>46</v>
      </c>
      <c r="Q1560">
        <v>15</v>
      </c>
      <c r="R1560">
        <v>1</v>
      </c>
      <c r="T1560" s="13">
        <f t="shared" si="26"/>
        <v>16</v>
      </c>
      <c r="U1560" t="s">
        <v>26</v>
      </c>
    </row>
    <row r="1561" spans="1:22" x14ac:dyDescent="0.3">
      <c r="A1561">
        <v>22</v>
      </c>
      <c r="B1561">
        <v>3</v>
      </c>
      <c r="C1561">
        <v>207741</v>
      </c>
      <c r="D1561" t="s">
        <v>22</v>
      </c>
      <c r="E1561" s="10">
        <v>44100</v>
      </c>
      <c r="F1561" t="s">
        <v>23</v>
      </c>
      <c r="G1561" s="3" t="s">
        <v>48</v>
      </c>
      <c r="H1561" t="s">
        <v>45</v>
      </c>
      <c r="K1561">
        <v>3</v>
      </c>
      <c r="T1561" s="13">
        <f t="shared" si="26"/>
        <v>3</v>
      </c>
      <c r="U1561" t="s">
        <v>26</v>
      </c>
    </row>
    <row r="1562" spans="1:22" s="5" customFormat="1" ht="16.2" thickBot="1" x14ac:dyDescent="0.35">
      <c r="A1562" s="5">
        <v>22</v>
      </c>
      <c r="B1562" s="5">
        <v>3</v>
      </c>
      <c r="C1562" s="5">
        <v>207741</v>
      </c>
      <c r="D1562" s="5" t="s">
        <v>22</v>
      </c>
      <c r="E1562" s="11">
        <v>44100</v>
      </c>
      <c r="F1562" s="5" t="s">
        <v>23</v>
      </c>
      <c r="G1562" s="6" t="s">
        <v>48</v>
      </c>
      <c r="H1562" s="5" t="s">
        <v>43</v>
      </c>
      <c r="Q1562" s="5">
        <v>2</v>
      </c>
      <c r="T1562" s="12">
        <f t="shared" si="26"/>
        <v>2</v>
      </c>
      <c r="U1562" s="5" t="s">
        <v>26</v>
      </c>
      <c r="V1562" s="14"/>
    </row>
    <row r="1563" spans="1:22" x14ac:dyDescent="0.3">
      <c r="A1563">
        <v>22</v>
      </c>
      <c r="B1563">
        <v>4</v>
      </c>
      <c r="C1563">
        <v>207742</v>
      </c>
      <c r="D1563" t="s">
        <v>22</v>
      </c>
      <c r="E1563" s="10">
        <v>44100</v>
      </c>
      <c r="F1563" t="s">
        <v>23</v>
      </c>
      <c r="G1563" s="3" t="s">
        <v>102</v>
      </c>
      <c r="H1563" t="s">
        <v>25</v>
      </c>
      <c r="M1563">
        <v>4</v>
      </c>
      <c r="N1563">
        <v>3</v>
      </c>
      <c r="O1563">
        <v>5</v>
      </c>
      <c r="P1563">
        <v>20</v>
      </c>
      <c r="T1563" s="13">
        <f t="shared" si="26"/>
        <v>32</v>
      </c>
      <c r="U1563" t="s">
        <v>26</v>
      </c>
      <c r="V1563" s="15" t="s">
        <v>103</v>
      </c>
    </row>
    <row r="1564" spans="1:22" x14ac:dyDescent="0.3">
      <c r="A1564">
        <v>22</v>
      </c>
      <c r="B1564">
        <v>4</v>
      </c>
      <c r="C1564">
        <v>207742</v>
      </c>
      <c r="D1564" t="s">
        <v>22</v>
      </c>
      <c r="E1564" s="10">
        <v>44100</v>
      </c>
      <c r="F1564" t="s">
        <v>23</v>
      </c>
      <c r="G1564" s="3" t="s">
        <v>54</v>
      </c>
      <c r="H1564" t="s">
        <v>274</v>
      </c>
      <c r="S1564">
        <v>1</v>
      </c>
      <c r="T1564" s="13">
        <f t="shared" si="26"/>
        <v>1</v>
      </c>
      <c r="U1564" t="s">
        <v>26</v>
      </c>
    </row>
    <row r="1565" spans="1:22" x14ac:dyDescent="0.3">
      <c r="A1565">
        <v>22</v>
      </c>
      <c r="B1565">
        <v>4</v>
      </c>
      <c r="C1565">
        <v>207742</v>
      </c>
      <c r="D1565" t="s">
        <v>22</v>
      </c>
      <c r="E1565" s="10">
        <v>44100</v>
      </c>
      <c r="F1565" t="s">
        <v>23</v>
      </c>
      <c r="G1565" s="3" t="s">
        <v>54</v>
      </c>
      <c r="H1565" t="s">
        <v>30</v>
      </c>
      <c r="I1565">
        <v>18</v>
      </c>
      <c r="J1565">
        <v>20</v>
      </c>
      <c r="T1565" s="13">
        <f t="shared" si="26"/>
        <v>38</v>
      </c>
      <c r="U1565" t="s">
        <v>26</v>
      </c>
    </row>
    <row r="1566" spans="1:22" x14ac:dyDescent="0.3">
      <c r="A1566">
        <v>22</v>
      </c>
      <c r="B1566">
        <v>4</v>
      </c>
      <c r="C1566">
        <v>207742</v>
      </c>
      <c r="D1566" t="s">
        <v>22</v>
      </c>
      <c r="E1566" s="10">
        <v>44100</v>
      </c>
      <c r="F1566" t="s">
        <v>23</v>
      </c>
      <c r="G1566" s="3" t="s">
        <v>54</v>
      </c>
      <c r="H1566" t="s">
        <v>33</v>
      </c>
      <c r="P1566">
        <v>3</v>
      </c>
      <c r="Q1566">
        <v>1</v>
      </c>
      <c r="R1566">
        <v>6</v>
      </c>
      <c r="T1566" s="13">
        <f t="shared" si="26"/>
        <v>10</v>
      </c>
      <c r="U1566" t="s">
        <v>26</v>
      </c>
    </row>
    <row r="1567" spans="1:22" x14ac:dyDescent="0.3">
      <c r="A1567">
        <v>22</v>
      </c>
      <c r="B1567">
        <v>4</v>
      </c>
      <c r="C1567">
        <v>207742</v>
      </c>
      <c r="D1567" t="s">
        <v>22</v>
      </c>
      <c r="E1567" s="10">
        <v>44100</v>
      </c>
      <c r="F1567" t="s">
        <v>23</v>
      </c>
      <c r="G1567" s="3" t="s">
        <v>54</v>
      </c>
      <c r="H1567" t="s">
        <v>31</v>
      </c>
      <c r="P1567">
        <v>1</v>
      </c>
      <c r="Q1567">
        <v>3</v>
      </c>
      <c r="T1567" s="13">
        <f t="shared" si="26"/>
        <v>4</v>
      </c>
      <c r="U1567" t="s">
        <v>26</v>
      </c>
    </row>
    <row r="1568" spans="1:22" x14ac:dyDescent="0.3">
      <c r="A1568">
        <v>22</v>
      </c>
      <c r="B1568">
        <v>4</v>
      </c>
      <c r="C1568">
        <v>207742</v>
      </c>
      <c r="D1568" t="s">
        <v>22</v>
      </c>
      <c r="E1568" s="10">
        <v>44100</v>
      </c>
      <c r="F1568" t="s">
        <v>23</v>
      </c>
      <c r="G1568" s="3" t="s">
        <v>54</v>
      </c>
      <c r="H1568" t="s">
        <v>37</v>
      </c>
      <c r="O1568">
        <v>8</v>
      </c>
      <c r="P1568">
        <v>13</v>
      </c>
      <c r="Q1568">
        <v>15</v>
      </c>
      <c r="R1568">
        <v>6</v>
      </c>
      <c r="T1568" s="13">
        <f t="shared" si="26"/>
        <v>42</v>
      </c>
      <c r="U1568" t="s">
        <v>26</v>
      </c>
    </row>
    <row r="1569" spans="1:22" x14ac:dyDescent="0.3">
      <c r="A1569">
        <v>22</v>
      </c>
      <c r="B1569">
        <v>4</v>
      </c>
      <c r="C1569">
        <v>207742</v>
      </c>
      <c r="D1569" t="s">
        <v>22</v>
      </c>
      <c r="E1569" s="10">
        <v>44100</v>
      </c>
      <c r="F1569" t="s">
        <v>23</v>
      </c>
      <c r="G1569" s="3" t="s">
        <v>54</v>
      </c>
      <c r="H1569" t="s">
        <v>38</v>
      </c>
      <c r="Q1569">
        <v>5</v>
      </c>
      <c r="R1569">
        <v>3</v>
      </c>
      <c r="T1569" s="13">
        <f t="shared" si="26"/>
        <v>8</v>
      </c>
      <c r="U1569" t="s">
        <v>26</v>
      </c>
    </row>
    <row r="1570" spans="1:22" x14ac:dyDescent="0.3">
      <c r="A1570">
        <v>22</v>
      </c>
      <c r="B1570">
        <v>4</v>
      </c>
      <c r="C1570">
        <v>207742</v>
      </c>
      <c r="D1570" t="s">
        <v>22</v>
      </c>
      <c r="E1570" s="10">
        <v>44100</v>
      </c>
      <c r="F1570" t="s">
        <v>23</v>
      </c>
      <c r="G1570" s="3" t="s">
        <v>54</v>
      </c>
      <c r="H1570" t="s">
        <v>32</v>
      </c>
      <c r="O1570">
        <v>16</v>
      </c>
      <c r="P1570">
        <v>18</v>
      </c>
      <c r="T1570" s="13">
        <f t="shared" si="26"/>
        <v>34</v>
      </c>
      <c r="U1570" t="s">
        <v>26</v>
      </c>
    </row>
    <row r="1571" spans="1:22" x14ac:dyDescent="0.3">
      <c r="A1571">
        <v>22</v>
      </c>
      <c r="B1571">
        <v>4</v>
      </c>
      <c r="C1571">
        <v>207742</v>
      </c>
      <c r="D1571" t="s">
        <v>22</v>
      </c>
      <c r="E1571" s="10">
        <v>44100</v>
      </c>
      <c r="F1571" t="s">
        <v>23</v>
      </c>
      <c r="G1571" s="3" t="s">
        <v>54</v>
      </c>
      <c r="H1571" t="s">
        <v>46</v>
      </c>
      <c r="Q1571">
        <v>35</v>
      </c>
      <c r="T1571" s="13">
        <f t="shared" si="26"/>
        <v>35</v>
      </c>
      <c r="U1571" t="s">
        <v>26</v>
      </c>
    </row>
    <row r="1572" spans="1:22" x14ac:dyDescent="0.3">
      <c r="A1572">
        <v>22</v>
      </c>
      <c r="B1572">
        <v>4</v>
      </c>
      <c r="C1572">
        <v>207742</v>
      </c>
      <c r="D1572" t="s">
        <v>22</v>
      </c>
      <c r="E1572" s="10">
        <v>44100</v>
      </c>
      <c r="F1572" t="s">
        <v>23</v>
      </c>
      <c r="G1572" s="3" t="s">
        <v>54</v>
      </c>
      <c r="H1572" t="s">
        <v>45</v>
      </c>
      <c r="K1572">
        <v>7</v>
      </c>
      <c r="T1572" s="13">
        <f t="shared" si="26"/>
        <v>7</v>
      </c>
      <c r="U1572" t="s">
        <v>26</v>
      </c>
    </row>
    <row r="1573" spans="1:22" x14ac:dyDescent="0.3">
      <c r="A1573">
        <v>22</v>
      </c>
      <c r="B1573">
        <v>4</v>
      </c>
      <c r="C1573">
        <v>207742</v>
      </c>
      <c r="D1573" t="s">
        <v>22</v>
      </c>
      <c r="E1573" s="10">
        <v>44100</v>
      </c>
      <c r="F1573" t="s">
        <v>23</v>
      </c>
      <c r="G1573" s="3" t="s">
        <v>54</v>
      </c>
      <c r="H1573" t="s">
        <v>51</v>
      </c>
      <c r="S1573">
        <v>5</v>
      </c>
      <c r="T1573" s="13">
        <f t="shared" si="26"/>
        <v>5</v>
      </c>
      <c r="U1573" t="s">
        <v>26</v>
      </c>
    </row>
    <row r="1574" spans="1:22" x14ac:dyDescent="0.3">
      <c r="A1574">
        <v>22</v>
      </c>
      <c r="B1574">
        <v>4</v>
      </c>
      <c r="C1574">
        <v>207742</v>
      </c>
      <c r="D1574" t="s">
        <v>22</v>
      </c>
      <c r="E1574" s="10">
        <v>44100</v>
      </c>
      <c r="F1574" t="s">
        <v>23</v>
      </c>
      <c r="G1574" s="3" t="s">
        <v>54</v>
      </c>
      <c r="H1574" t="s">
        <v>55</v>
      </c>
      <c r="S1574">
        <v>4</v>
      </c>
      <c r="T1574" s="13">
        <f t="shared" si="26"/>
        <v>4</v>
      </c>
      <c r="U1574" t="s">
        <v>26</v>
      </c>
    </row>
    <row r="1575" spans="1:22" x14ac:dyDescent="0.3">
      <c r="A1575">
        <v>22</v>
      </c>
      <c r="B1575">
        <v>4</v>
      </c>
      <c r="C1575">
        <v>207742</v>
      </c>
      <c r="D1575" t="s">
        <v>22</v>
      </c>
      <c r="E1575" s="10">
        <v>44100</v>
      </c>
      <c r="F1575" t="s">
        <v>23</v>
      </c>
      <c r="G1575" s="3" t="s">
        <v>54</v>
      </c>
      <c r="H1575" t="s">
        <v>50</v>
      </c>
      <c r="S1575">
        <v>4</v>
      </c>
      <c r="T1575" s="13">
        <f t="shared" si="26"/>
        <v>4</v>
      </c>
      <c r="U1575" t="s">
        <v>26</v>
      </c>
    </row>
    <row r="1576" spans="1:22" s="5" customFormat="1" ht="16.2" thickBot="1" x14ac:dyDescent="0.35">
      <c r="A1576" s="5">
        <v>22</v>
      </c>
      <c r="B1576" s="5">
        <v>4</v>
      </c>
      <c r="C1576" s="5">
        <v>207742</v>
      </c>
      <c r="D1576" s="5" t="s">
        <v>22</v>
      </c>
      <c r="E1576" s="11">
        <v>44100</v>
      </c>
      <c r="F1576" s="5" t="s">
        <v>23</v>
      </c>
      <c r="G1576" s="6" t="s">
        <v>54</v>
      </c>
      <c r="H1576" s="5" t="s">
        <v>41</v>
      </c>
      <c r="S1576" s="5">
        <v>3</v>
      </c>
      <c r="T1576" s="12">
        <f t="shared" si="26"/>
        <v>3</v>
      </c>
      <c r="U1576" s="5" t="s">
        <v>26</v>
      </c>
      <c r="V1576" s="14"/>
    </row>
    <row r="1577" spans="1:22" x14ac:dyDescent="0.3">
      <c r="A1577">
        <v>22</v>
      </c>
      <c r="B1577">
        <v>5</v>
      </c>
      <c r="C1577">
        <v>207743</v>
      </c>
      <c r="D1577" t="s">
        <v>22</v>
      </c>
      <c r="E1577" s="10">
        <v>44100</v>
      </c>
      <c r="F1577" t="s">
        <v>23</v>
      </c>
      <c r="G1577" s="3" t="s">
        <v>104</v>
      </c>
      <c r="H1577" t="s">
        <v>30</v>
      </c>
      <c r="I1577">
        <v>17</v>
      </c>
      <c r="J1577">
        <v>60</v>
      </c>
      <c r="T1577" s="13">
        <f t="shared" si="26"/>
        <v>77</v>
      </c>
      <c r="U1577" t="s">
        <v>26</v>
      </c>
    </row>
    <row r="1578" spans="1:22" x14ac:dyDescent="0.3">
      <c r="A1578">
        <v>22</v>
      </c>
      <c r="B1578">
        <v>5</v>
      </c>
      <c r="C1578">
        <v>207743</v>
      </c>
      <c r="D1578" t="s">
        <v>22</v>
      </c>
      <c r="E1578" s="10">
        <v>44100</v>
      </c>
      <c r="F1578" t="s">
        <v>23</v>
      </c>
      <c r="G1578" s="3" t="s">
        <v>104</v>
      </c>
      <c r="H1578" t="s">
        <v>37</v>
      </c>
      <c r="O1578">
        <v>10</v>
      </c>
      <c r="P1578">
        <v>9</v>
      </c>
      <c r="Q1578">
        <v>8</v>
      </c>
      <c r="R1578">
        <v>3</v>
      </c>
      <c r="T1578" s="13">
        <f t="shared" si="26"/>
        <v>30</v>
      </c>
      <c r="U1578" t="s">
        <v>26</v>
      </c>
    </row>
    <row r="1579" spans="1:22" x14ac:dyDescent="0.3">
      <c r="A1579">
        <v>22</v>
      </c>
      <c r="B1579">
        <v>5</v>
      </c>
      <c r="C1579">
        <v>207743</v>
      </c>
      <c r="D1579" t="s">
        <v>22</v>
      </c>
      <c r="E1579" s="10">
        <v>44100</v>
      </c>
      <c r="F1579" t="s">
        <v>23</v>
      </c>
      <c r="G1579" s="3" t="s">
        <v>104</v>
      </c>
      <c r="H1579" t="s">
        <v>32</v>
      </c>
      <c r="O1579">
        <v>17</v>
      </c>
      <c r="T1579" s="13">
        <f t="shared" si="26"/>
        <v>17</v>
      </c>
      <c r="U1579" t="s">
        <v>26</v>
      </c>
    </row>
    <row r="1580" spans="1:22" x14ac:dyDescent="0.3">
      <c r="A1580">
        <v>22</v>
      </c>
      <c r="B1580">
        <v>5</v>
      </c>
      <c r="C1580">
        <v>207743</v>
      </c>
      <c r="D1580" t="s">
        <v>22</v>
      </c>
      <c r="E1580" s="10">
        <v>44100</v>
      </c>
      <c r="F1580" t="s">
        <v>23</v>
      </c>
      <c r="G1580" s="3" t="s">
        <v>104</v>
      </c>
      <c r="H1580" t="s">
        <v>33</v>
      </c>
      <c r="O1580">
        <v>1</v>
      </c>
      <c r="P1580">
        <v>1</v>
      </c>
      <c r="Q1580">
        <v>1</v>
      </c>
      <c r="R1580">
        <v>4</v>
      </c>
      <c r="T1580" s="13">
        <f t="shared" si="26"/>
        <v>7</v>
      </c>
      <c r="U1580" t="s">
        <v>26</v>
      </c>
    </row>
    <row r="1581" spans="1:22" x14ac:dyDescent="0.3">
      <c r="A1581">
        <v>22</v>
      </c>
      <c r="B1581">
        <v>5</v>
      </c>
      <c r="C1581">
        <v>207743</v>
      </c>
      <c r="D1581" t="s">
        <v>22</v>
      </c>
      <c r="E1581" s="10">
        <v>44100</v>
      </c>
      <c r="F1581" t="s">
        <v>23</v>
      </c>
      <c r="G1581" s="3" t="s">
        <v>104</v>
      </c>
      <c r="H1581" t="s">
        <v>31</v>
      </c>
      <c r="Q1581">
        <v>6</v>
      </c>
      <c r="T1581" s="13">
        <f t="shared" si="26"/>
        <v>6</v>
      </c>
      <c r="U1581" t="s">
        <v>26</v>
      </c>
    </row>
    <row r="1582" spans="1:22" x14ac:dyDescent="0.3">
      <c r="A1582">
        <v>22</v>
      </c>
      <c r="B1582">
        <v>5</v>
      </c>
      <c r="C1582">
        <v>207743</v>
      </c>
      <c r="D1582" t="s">
        <v>22</v>
      </c>
      <c r="E1582" s="10">
        <v>44100</v>
      </c>
      <c r="F1582" t="s">
        <v>23</v>
      </c>
      <c r="G1582" s="3" t="s">
        <v>104</v>
      </c>
      <c r="H1582" t="s">
        <v>38</v>
      </c>
      <c r="P1582">
        <v>18</v>
      </c>
      <c r="Q1582">
        <v>4</v>
      </c>
      <c r="R1582">
        <v>3</v>
      </c>
      <c r="T1582" s="13">
        <f t="shared" si="26"/>
        <v>25</v>
      </c>
      <c r="U1582" t="s">
        <v>26</v>
      </c>
    </row>
    <row r="1583" spans="1:22" x14ac:dyDescent="0.3">
      <c r="A1583">
        <v>22</v>
      </c>
      <c r="B1583">
        <v>5</v>
      </c>
      <c r="C1583">
        <v>207743</v>
      </c>
      <c r="D1583" t="s">
        <v>22</v>
      </c>
      <c r="E1583" s="10">
        <v>44100</v>
      </c>
      <c r="F1583" t="s">
        <v>23</v>
      </c>
      <c r="G1583" s="3" t="s">
        <v>104</v>
      </c>
      <c r="H1583" t="s">
        <v>81</v>
      </c>
      <c r="R1583">
        <v>1</v>
      </c>
      <c r="T1583" s="13">
        <f t="shared" si="26"/>
        <v>1</v>
      </c>
      <c r="U1583" t="s">
        <v>26</v>
      </c>
    </row>
    <row r="1584" spans="1:22" x14ac:dyDescent="0.3">
      <c r="A1584">
        <v>22</v>
      </c>
      <c r="B1584">
        <v>5</v>
      </c>
      <c r="C1584">
        <v>207743</v>
      </c>
      <c r="D1584" t="s">
        <v>22</v>
      </c>
      <c r="E1584" s="10">
        <v>44100</v>
      </c>
      <c r="F1584" t="s">
        <v>23</v>
      </c>
      <c r="G1584" s="3" t="s">
        <v>104</v>
      </c>
      <c r="H1584" t="s">
        <v>35</v>
      </c>
      <c r="P1584">
        <v>1</v>
      </c>
      <c r="R1584">
        <v>5</v>
      </c>
      <c r="T1584" s="13">
        <f t="shared" si="26"/>
        <v>6</v>
      </c>
      <c r="U1584" t="s">
        <v>26</v>
      </c>
    </row>
    <row r="1585" spans="1:22" x14ac:dyDescent="0.3">
      <c r="A1585">
        <v>22</v>
      </c>
      <c r="B1585">
        <v>5</v>
      </c>
      <c r="C1585">
        <v>207743</v>
      </c>
      <c r="D1585" t="s">
        <v>22</v>
      </c>
      <c r="E1585" s="10">
        <v>44100</v>
      </c>
      <c r="F1585" t="s">
        <v>23</v>
      </c>
      <c r="G1585" s="3" t="s">
        <v>104</v>
      </c>
      <c r="H1585" t="s">
        <v>51</v>
      </c>
      <c r="R1585">
        <v>1</v>
      </c>
      <c r="T1585" s="13">
        <f t="shared" si="26"/>
        <v>1</v>
      </c>
      <c r="U1585" t="s">
        <v>26</v>
      </c>
    </row>
    <row r="1586" spans="1:22" x14ac:dyDescent="0.3">
      <c r="A1586">
        <v>22</v>
      </c>
      <c r="B1586">
        <v>5</v>
      </c>
      <c r="C1586">
        <v>207743</v>
      </c>
      <c r="D1586" t="s">
        <v>22</v>
      </c>
      <c r="E1586" s="10">
        <v>44100</v>
      </c>
      <c r="F1586" t="s">
        <v>23</v>
      </c>
      <c r="G1586" s="3" t="s">
        <v>104</v>
      </c>
      <c r="H1586" t="s">
        <v>50</v>
      </c>
      <c r="R1586">
        <v>6</v>
      </c>
      <c r="T1586" s="13">
        <f t="shared" si="26"/>
        <v>6</v>
      </c>
      <c r="U1586" t="s">
        <v>26</v>
      </c>
    </row>
    <row r="1587" spans="1:22" x14ac:dyDescent="0.3">
      <c r="A1587">
        <v>22</v>
      </c>
      <c r="B1587">
        <v>5</v>
      </c>
      <c r="C1587">
        <v>207743</v>
      </c>
      <c r="D1587" t="s">
        <v>22</v>
      </c>
      <c r="E1587" s="10">
        <v>44100</v>
      </c>
      <c r="F1587" t="s">
        <v>23</v>
      </c>
      <c r="G1587" s="3" t="s">
        <v>104</v>
      </c>
      <c r="H1587" t="s">
        <v>41</v>
      </c>
      <c r="R1587">
        <v>3</v>
      </c>
      <c r="T1587" s="13">
        <f t="shared" si="26"/>
        <v>3</v>
      </c>
      <c r="U1587" t="s">
        <v>26</v>
      </c>
    </row>
    <row r="1588" spans="1:22" x14ac:dyDescent="0.3">
      <c r="A1588">
        <v>22</v>
      </c>
      <c r="B1588">
        <v>5</v>
      </c>
      <c r="C1588">
        <v>207743</v>
      </c>
      <c r="D1588" t="s">
        <v>22</v>
      </c>
      <c r="E1588" s="10">
        <v>44100</v>
      </c>
      <c r="F1588" t="s">
        <v>23</v>
      </c>
      <c r="G1588" s="3" t="s">
        <v>104</v>
      </c>
      <c r="H1588" t="s">
        <v>49</v>
      </c>
      <c r="R1588">
        <v>3</v>
      </c>
      <c r="T1588" s="13">
        <f t="shared" si="26"/>
        <v>3</v>
      </c>
      <c r="U1588" t="s">
        <v>26</v>
      </c>
    </row>
    <row r="1589" spans="1:22" x14ac:dyDescent="0.3">
      <c r="A1589">
        <v>22</v>
      </c>
      <c r="B1589">
        <v>5</v>
      </c>
      <c r="C1589">
        <v>207743</v>
      </c>
      <c r="D1589" t="s">
        <v>22</v>
      </c>
      <c r="E1589" s="10">
        <v>44100</v>
      </c>
      <c r="F1589" t="s">
        <v>23</v>
      </c>
      <c r="G1589" s="3" t="s">
        <v>104</v>
      </c>
      <c r="H1589" t="s">
        <v>55</v>
      </c>
      <c r="R1589">
        <v>2</v>
      </c>
      <c r="T1589" s="13">
        <f t="shared" si="26"/>
        <v>2</v>
      </c>
      <c r="U1589" t="s">
        <v>26</v>
      </c>
    </row>
    <row r="1590" spans="1:22" x14ac:dyDescent="0.3">
      <c r="A1590">
        <v>22</v>
      </c>
      <c r="B1590">
        <v>5</v>
      </c>
      <c r="C1590">
        <v>207743</v>
      </c>
      <c r="D1590" t="s">
        <v>22</v>
      </c>
      <c r="E1590" s="10">
        <v>44100</v>
      </c>
      <c r="F1590" t="s">
        <v>23</v>
      </c>
      <c r="G1590" s="3" t="s">
        <v>104</v>
      </c>
      <c r="H1590" t="s">
        <v>42</v>
      </c>
      <c r="R1590">
        <v>2</v>
      </c>
      <c r="T1590" s="13">
        <f t="shared" ref="T1590:T1654" si="27">SUM(I1590:S1590)</f>
        <v>2</v>
      </c>
      <c r="U1590" t="s">
        <v>26</v>
      </c>
    </row>
    <row r="1591" spans="1:22" x14ac:dyDescent="0.3">
      <c r="A1591">
        <v>22</v>
      </c>
      <c r="B1591">
        <v>5</v>
      </c>
      <c r="C1591">
        <v>207743</v>
      </c>
      <c r="D1591" t="s">
        <v>22</v>
      </c>
      <c r="E1591" s="10">
        <v>44100</v>
      </c>
      <c r="F1591" t="s">
        <v>23</v>
      </c>
      <c r="G1591" s="3" t="s">
        <v>104</v>
      </c>
      <c r="H1591" t="s">
        <v>46</v>
      </c>
      <c r="Q1591">
        <v>24</v>
      </c>
      <c r="R1591">
        <v>1</v>
      </c>
      <c r="T1591" s="13">
        <f t="shared" si="27"/>
        <v>25</v>
      </c>
      <c r="U1591" t="s">
        <v>26</v>
      </c>
    </row>
    <row r="1592" spans="1:22" s="5" customFormat="1" ht="16.2" thickBot="1" x14ac:dyDescent="0.35">
      <c r="A1592" s="5">
        <v>22</v>
      </c>
      <c r="B1592" s="5">
        <v>5</v>
      </c>
      <c r="C1592" s="5">
        <v>207743</v>
      </c>
      <c r="D1592" s="5" t="s">
        <v>22</v>
      </c>
      <c r="E1592" s="11">
        <v>44100</v>
      </c>
      <c r="F1592" s="5" t="s">
        <v>23</v>
      </c>
      <c r="G1592" s="6" t="s">
        <v>104</v>
      </c>
      <c r="H1592" s="5" t="s">
        <v>45</v>
      </c>
      <c r="K1592" s="5">
        <v>15</v>
      </c>
      <c r="T1592" s="12">
        <f t="shared" si="27"/>
        <v>15</v>
      </c>
      <c r="U1592" s="5" t="s">
        <v>26</v>
      </c>
      <c r="V1592" s="14"/>
    </row>
    <row r="1593" spans="1:22" x14ac:dyDescent="0.3">
      <c r="A1593">
        <v>23</v>
      </c>
      <c r="B1593">
        <v>1</v>
      </c>
      <c r="C1593">
        <v>207744</v>
      </c>
      <c r="D1593" t="s">
        <v>22</v>
      </c>
      <c r="E1593" s="10">
        <v>44100</v>
      </c>
      <c r="F1593" t="s">
        <v>23</v>
      </c>
      <c r="G1593" s="3" t="s">
        <v>52</v>
      </c>
      <c r="H1593" t="s">
        <v>141</v>
      </c>
      <c r="S1593">
        <v>12</v>
      </c>
      <c r="T1593" s="13">
        <f t="shared" si="27"/>
        <v>12</v>
      </c>
      <c r="U1593" t="s">
        <v>143</v>
      </c>
    </row>
    <row r="1594" spans="1:22" x14ac:dyDescent="0.3">
      <c r="A1594">
        <v>23</v>
      </c>
      <c r="B1594">
        <v>1</v>
      </c>
      <c r="C1594">
        <v>207744</v>
      </c>
      <c r="D1594" t="s">
        <v>22</v>
      </c>
      <c r="E1594" s="10">
        <v>44100</v>
      </c>
      <c r="F1594" t="s">
        <v>23</v>
      </c>
      <c r="G1594" s="3" t="s">
        <v>52</v>
      </c>
      <c r="H1594" t="s">
        <v>60</v>
      </c>
      <c r="S1594">
        <v>3</v>
      </c>
      <c r="T1594" s="13">
        <f t="shared" si="27"/>
        <v>3</v>
      </c>
      <c r="U1594" t="s">
        <v>144</v>
      </c>
      <c r="V1594" s="15" t="s">
        <v>175</v>
      </c>
    </row>
    <row r="1595" spans="1:22" x14ac:dyDescent="0.3">
      <c r="A1595">
        <v>23</v>
      </c>
      <c r="B1595">
        <v>1</v>
      </c>
      <c r="C1595">
        <v>207744</v>
      </c>
      <c r="D1595" t="s">
        <v>22</v>
      </c>
      <c r="E1595" s="10">
        <v>44100</v>
      </c>
      <c r="F1595" t="s">
        <v>23</v>
      </c>
      <c r="G1595" s="3" t="s">
        <v>52</v>
      </c>
      <c r="H1595" t="s">
        <v>82</v>
      </c>
      <c r="S1595">
        <v>2</v>
      </c>
      <c r="T1595" s="13">
        <f t="shared" si="27"/>
        <v>2</v>
      </c>
      <c r="U1595" t="s">
        <v>143</v>
      </c>
    </row>
    <row r="1596" spans="1:22" x14ac:dyDescent="0.3">
      <c r="A1596">
        <v>23</v>
      </c>
      <c r="B1596">
        <v>1</v>
      </c>
      <c r="C1596">
        <v>207744</v>
      </c>
      <c r="D1596" t="s">
        <v>22</v>
      </c>
      <c r="E1596" s="10">
        <v>44100</v>
      </c>
      <c r="F1596" t="s">
        <v>23</v>
      </c>
      <c r="G1596" s="3" t="s">
        <v>52</v>
      </c>
      <c r="H1596" t="s">
        <v>25</v>
      </c>
      <c r="S1596">
        <v>1</v>
      </c>
      <c r="T1596" s="13">
        <f t="shared" si="27"/>
        <v>1</v>
      </c>
      <c r="U1596" t="s">
        <v>144</v>
      </c>
    </row>
    <row r="1597" spans="1:22" x14ac:dyDescent="0.3">
      <c r="A1597">
        <v>23</v>
      </c>
      <c r="B1597">
        <v>1</v>
      </c>
      <c r="C1597">
        <v>207744</v>
      </c>
      <c r="D1597" t="s">
        <v>22</v>
      </c>
      <c r="E1597" s="10">
        <v>44100</v>
      </c>
      <c r="F1597" t="s">
        <v>23</v>
      </c>
      <c r="G1597" s="3" t="s">
        <v>52</v>
      </c>
      <c r="H1597" t="s">
        <v>244</v>
      </c>
      <c r="S1597">
        <v>3</v>
      </c>
      <c r="T1597" s="13">
        <f t="shared" si="27"/>
        <v>3</v>
      </c>
      <c r="U1597" t="s">
        <v>143</v>
      </c>
    </row>
    <row r="1598" spans="1:22" x14ac:dyDescent="0.3">
      <c r="A1598">
        <v>23</v>
      </c>
      <c r="B1598">
        <v>1</v>
      </c>
      <c r="C1598">
        <v>207744</v>
      </c>
      <c r="D1598" t="s">
        <v>22</v>
      </c>
      <c r="E1598" s="10">
        <v>44100</v>
      </c>
      <c r="F1598" t="s">
        <v>23</v>
      </c>
      <c r="G1598" s="3" t="s">
        <v>176</v>
      </c>
      <c r="H1598" t="s">
        <v>25</v>
      </c>
      <c r="O1598">
        <v>15</v>
      </c>
      <c r="P1598">
        <v>140</v>
      </c>
      <c r="Q1598">
        <v>1</v>
      </c>
      <c r="R1598">
        <v>1</v>
      </c>
      <c r="T1598" s="13">
        <f t="shared" si="27"/>
        <v>157</v>
      </c>
      <c r="U1598" t="s">
        <v>144</v>
      </c>
    </row>
    <row r="1599" spans="1:22" x14ac:dyDescent="0.3">
      <c r="A1599">
        <v>23</v>
      </c>
      <c r="B1599">
        <v>1</v>
      </c>
      <c r="C1599">
        <v>207744</v>
      </c>
      <c r="D1599" t="s">
        <v>22</v>
      </c>
      <c r="E1599" s="10">
        <v>44100</v>
      </c>
      <c r="F1599" t="s">
        <v>23</v>
      </c>
      <c r="G1599" s="3" t="s">
        <v>176</v>
      </c>
      <c r="H1599" t="s">
        <v>27</v>
      </c>
      <c r="P1599">
        <v>2</v>
      </c>
      <c r="T1599" s="13">
        <f t="shared" si="27"/>
        <v>2</v>
      </c>
      <c r="U1599" t="s">
        <v>144</v>
      </c>
    </row>
    <row r="1600" spans="1:22" x14ac:dyDescent="0.3">
      <c r="A1600">
        <v>23</v>
      </c>
      <c r="B1600">
        <v>1</v>
      </c>
      <c r="C1600">
        <v>207744</v>
      </c>
      <c r="D1600" t="s">
        <v>22</v>
      </c>
      <c r="E1600" s="10">
        <v>44100</v>
      </c>
      <c r="F1600" t="s">
        <v>23</v>
      </c>
      <c r="G1600" s="3" t="s">
        <v>176</v>
      </c>
      <c r="H1600" t="s">
        <v>98</v>
      </c>
      <c r="S1600">
        <v>2</v>
      </c>
      <c r="T1600" s="13">
        <f t="shared" si="27"/>
        <v>2</v>
      </c>
      <c r="U1600" t="s">
        <v>144</v>
      </c>
    </row>
    <row r="1601" spans="1:22" x14ac:dyDescent="0.3">
      <c r="A1601">
        <v>23</v>
      </c>
      <c r="B1601">
        <v>1</v>
      </c>
      <c r="C1601">
        <v>207744</v>
      </c>
      <c r="D1601" t="s">
        <v>22</v>
      </c>
      <c r="E1601" s="10">
        <v>44100</v>
      </c>
      <c r="F1601" t="s">
        <v>23</v>
      </c>
      <c r="G1601" s="3" t="s">
        <v>176</v>
      </c>
      <c r="H1601" t="s">
        <v>30</v>
      </c>
      <c r="I1601">
        <v>3</v>
      </c>
      <c r="T1601" s="13">
        <f t="shared" si="27"/>
        <v>3</v>
      </c>
      <c r="U1601" t="s">
        <v>144</v>
      </c>
    </row>
    <row r="1602" spans="1:22" x14ac:dyDescent="0.3">
      <c r="A1602">
        <v>23</v>
      </c>
      <c r="B1602">
        <v>1</v>
      </c>
      <c r="C1602">
        <v>207744</v>
      </c>
      <c r="D1602" t="s">
        <v>22</v>
      </c>
      <c r="E1602" s="10">
        <v>44100</v>
      </c>
      <c r="F1602" t="s">
        <v>23</v>
      </c>
      <c r="G1602" s="3" t="s">
        <v>176</v>
      </c>
      <c r="H1602" t="s">
        <v>192</v>
      </c>
      <c r="S1602">
        <v>4</v>
      </c>
      <c r="T1602" s="13">
        <f t="shared" si="27"/>
        <v>4</v>
      </c>
      <c r="U1602" t="s">
        <v>144</v>
      </c>
    </row>
    <row r="1603" spans="1:22" x14ac:dyDescent="0.3">
      <c r="A1603">
        <v>23</v>
      </c>
      <c r="B1603">
        <v>1</v>
      </c>
      <c r="C1603">
        <v>207744</v>
      </c>
      <c r="D1603" t="s">
        <v>22</v>
      </c>
      <c r="E1603" s="10">
        <v>44100</v>
      </c>
      <c r="F1603" t="s">
        <v>23</v>
      </c>
      <c r="G1603" s="3" t="s">
        <v>176</v>
      </c>
      <c r="H1603" t="s">
        <v>142</v>
      </c>
      <c r="S1603">
        <v>1</v>
      </c>
      <c r="T1603" s="13">
        <f t="shared" si="27"/>
        <v>1</v>
      </c>
      <c r="U1603" t="s">
        <v>144</v>
      </c>
    </row>
    <row r="1604" spans="1:22" x14ac:dyDescent="0.3">
      <c r="A1604">
        <v>23</v>
      </c>
      <c r="B1604">
        <v>1</v>
      </c>
      <c r="C1604">
        <v>207744</v>
      </c>
      <c r="D1604" t="s">
        <v>22</v>
      </c>
      <c r="E1604" s="10">
        <v>44100</v>
      </c>
      <c r="F1604" t="s">
        <v>23</v>
      </c>
      <c r="G1604" s="3" t="s">
        <v>176</v>
      </c>
      <c r="H1604" t="s">
        <v>274</v>
      </c>
      <c r="S1604">
        <v>2</v>
      </c>
      <c r="T1604" s="13">
        <f t="shared" si="27"/>
        <v>2</v>
      </c>
      <c r="U1604" t="s">
        <v>144</v>
      </c>
    </row>
    <row r="1605" spans="1:22" x14ac:dyDescent="0.3">
      <c r="A1605">
        <v>23</v>
      </c>
      <c r="B1605">
        <v>1</v>
      </c>
      <c r="C1605">
        <v>207744</v>
      </c>
      <c r="D1605" t="s">
        <v>22</v>
      </c>
      <c r="E1605" s="10">
        <v>44100</v>
      </c>
      <c r="F1605" t="s">
        <v>23</v>
      </c>
      <c r="G1605" s="3" t="s">
        <v>176</v>
      </c>
      <c r="H1605" t="s">
        <v>31</v>
      </c>
      <c r="Q1605">
        <v>1</v>
      </c>
      <c r="T1605" s="13">
        <f t="shared" si="27"/>
        <v>1</v>
      </c>
      <c r="U1605" t="s">
        <v>144</v>
      </c>
    </row>
    <row r="1606" spans="1:22" x14ac:dyDescent="0.3">
      <c r="A1606">
        <v>23</v>
      </c>
      <c r="B1606">
        <v>1</v>
      </c>
      <c r="C1606">
        <v>207744</v>
      </c>
      <c r="D1606" t="s">
        <v>22</v>
      </c>
      <c r="E1606" s="10">
        <v>44100</v>
      </c>
      <c r="F1606" t="s">
        <v>23</v>
      </c>
      <c r="G1606" s="3" t="s">
        <v>176</v>
      </c>
      <c r="H1606" t="s">
        <v>37</v>
      </c>
      <c r="Q1606">
        <v>1</v>
      </c>
      <c r="T1606" s="13">
        <f t="shared" si="27"/>
        <v>1</v>
      </c>
      <c r="U1606" t="s">
        <v>144</v>
      </c>
    </row>
    <row r="1607" spans="1:22" x14ac:dyDescent="0.3">
      <c r="A1607">
        <v>23</v>
      </c>
      <c r="B1607">
        <v>1</v>
      </c>
      <c r="C1607">
        <v>207744</v>
      </c>
      <c r="D1607" t="s">
        <v>22</v>
      </c>
      <c r="E1607" s="10">
        <v>44100</v>
      </c>
      <c r="F1607" t="s">
        <v>23</v>
      </c>
      <c r="G1607" s="3" t="s">
        <v>176</v>
      </c>
      <c r="H1607" t="s">
        <v>34</v>
      </c>
      <c r="Q1607">
        <v>1</v>
      </c>
      <c r="R1607">
        <v>5</v>
      </c>
      <c r="T1607" s="13">
        <f t="shared" si="27"/>
        <v>6</v>
      </c>
      <c r="U1607" t="s">
        <v>144</v>
      </c>
    </row>
    <row r="1608" spans="1:22" x14ac:dyDescent="0.3">
      <c r="A1608">
        <v>23</v>
      </c>
      <c r="B1608">
        <v>1</v>
      </c>
      <c r="C1608">
        <v>207744</v>
      </c>
      <c r="D1608" t="s">
        <v>22</v>
      </c>
      <c r="E1608" s="10">
        <v>44100</v>
      </c>
      <c r="F1608" t="s">
        <v>23</v>
      </c>
      <c r="G1608" s="3" t="s">
        <v>176</v>
      </c>
      <c r="H1608" t="s">
        <v>32</v>
      </c>
      <c r="N1608">
        <v>1</v>
      </c>
      <c r="T1608" s="13">
        <f t="shared" si="27"/>
        <v>1</v>
      </c>
      <c r="U1608" t="s">
        <v>144</v>
      </c>
    </row>
    <row r="1609" spans="1:22" x14ac:dyDescent="0.3">
      <c r="A1609">
        <v>23</v>
      </c>
      <c r="B1609">
        <v>1</v>
      </c>
      <c r="C1609">
        <v>207744</v>
      </c>
      <c r="D1609" t="s">
        <v>22</v>
      </c>
      <c r="E1609" s="10">
        <v>44100</v>
      </c>
      <c r="F1609" t="s">
        <v>23</v>
      </c>
      <c r="G1609" s="3" t="s">
        <v>176</v>
      </c>
      <c r="H1609" t="s">
        <v>38</v>
      </c>
      <c r="O1609">
        <v>1</v>
      </c>
      <c r="T1609" s="13">
        <f t="shared" si="27"/>
        <v>1</v>
      </c>
      <c r="U1609" t="s">
        <v>144</v>
      </c>
    </row>
    <row r="1610" spans="1:22" x14ac:dyDescent="0.3">
      <c r="A1610">
        <v>23</v>
      </c>
      <c r="B1610">
        <v>1</v>
      </c>
      <c r="C1610">
        <v>207744</v>
      </c>
      <c r="D1610" t="s">
        <v>22</v>
      </c>
      <c r="E1610" s="10">
        <v>44100</v>
      </c>
      <c r="F1610" t="s">
        <v>23</v>
      </c>
      <c r="G1610" s="3" t="s">
        <v>176</v>
      </c>
      <c r="H1610" t="s">
        <v>43</v>
      </c>
      <c r="K1610">
        <v>2</v>
      </c>
      <c r="Q1610">
        <v>7</v>
      </c>
      <c r="T1610" s="13">
        <f t="shared" si="27"/>
        <v>9</v>
      </c>
      <c r="U1610" t="s">
        <v>144</v>
      </c>
    </row>
    <row r="1611" spans="1:22" x14ac:dyDescent="0.3">
      <c r="A1611">
        <v>23</v>
      </c>
      <c r="B1611">
        <v>1</v>
      </c>
      <c r="C1611">
        <v>207744</v>
      </c>
      <c r="D1611" t="s">
        <v>22</v>
      </c>
      <c r="E1611" s="10">
        <v>44100</v>
      </c>
      <c r="F1611" t="s">
        <v>23</v>
      </c>
      <c r="G1611" s="3" t="s">
        <v>176</v>
      </c>
      <c r="H1611" t="s">
        <v>41</v>
      </c>
      <c r="S1611">
        <v>1</v>
      </c>
      <c r="T1611" s="13">
        <f t="shared" si="27"/>
        <v>1</v>
      </c>
      <c r="U1611" t="s">
        <v>144</v>
      </c>
    </row>
    <row r="1612" spans="1:22" x14ac:dyDescent="0.3">
      <c r="A1612">
        <v>23</v>
      </c>
      <c r="B1612">
        <v>1</v>
      </c>
      <c r="C1612">
        <v>207744</v>
      </c>
      <c r="D1612" t="s">
        <v>22</v>
      </c>
      <c r="E1612" s="10">
        <v>44100</v>
      </c>
      <c r="F1612" t="s">
        <v>23</v>
      </c>
      <c r="G1612" s="3" t="s">
        <v>176</v>
      </c>
      <c r="H1612" t="s">
        <v>51</v>
      </c>
      <c r="S1612">
        <v>1</v>
      </c>
      <c r="T1612" s="13">
        <f t="shared" si="27"/>
        <v>1</v>
      </c>
      <c r="U1612" t="s">
        <v>144</v>
      </c>
    </row>
    <row r="1613" spans="1:22" x14ac:dyDescent="0.3">
      <c r="A1613">
        <v>23</v>
      </c>
      <c r="B1613">
        <v>1</v>
      </c>
      <c r="C1613">
        <v>207744</v>
      </c>
      <c r="D1613" t="s">
        <v>22</v>
      </c>
      <c r="E1613" s="10">
        <v>44100</v>
      </c>
      <c r="F1613" t="s">
        <v>23</v>
      </c>
      <c r="G1613" s="3" t="s">
        <v>176</v>
      </c>
      <c r="H1613" t="s">
        <v>45</v>
      </c>
      <c r="K1613">
        <v>5</v>
      </c>
      <c r="T1613" s="13">
        <f t="shared" si="27"/>
        <v>5</v>
      </c>
      <c r="U1613" t="s">
        <v>144</v>
      </c>
    </row>
    <row r="1614" spans="1:22" x14ac:dyDescent="0.3">
      <c r="A1614">
        <v>23</v>
      </c>
      <c r="B1614">
        <v>1</v>
      </c>
      <c r="C1614">
        <v>207744</v>
      </c>
      <c r="D1614" t="s">
        <v>22</v>
      </c>
      <c r="E1614" s="10">
        <v>44100</v>
      </c>
      <c r="F1614" t="s">
        <v>23</v>
      </c>
      <c r="G1614" s="3" t="s">
        <v>176</v>
      </c>
      <c r="H1614" t="s">
        <v>35</v>
      </c>
      <c r="T1614" s="13">
        <v>1</v>
      </c>
      <c r="U1614" t="s">
        <v>144</v>
      </c>
    </row>
    <row r="1615" spans="1:22" s="5" customFormat="1" ht="16.2" thickBot="1" x14ac:dyDescent="0.35">
      <c r="A1615" s="5">
        <v>23</v>
      </c>
      <c r="B1615" s="5">
        <v>1</v>
      </c>
      <c r="C1615" s="5">
        <v>207744</v>
      </c>
      <c r="D1615" s="5" t="s">
        <v>22</v>
      </c>
      <c r="E1615" s="11">
        <v>44100</v>
      </c>
      <c r="F1615" s="5" t="s">
        <v>23</v>
      </c>
      <c r="G1615" s="6" t="s">
        <v>176</v>
      </c>
      <c r="H1615" s="5" t="s">
        <v>46</v>
      </c>
      <c r="Q1615" s="5">
        <v>5</v>
      </c>
      <c r="T1615" s="12">
        <f t="shared" si="27"/>
        <v>5</v>
      </c>
      <c r="U1615" s="5" t="s">
        <v>144</v>
      </c>
      <c r="V1615" s="14"/>
    </row>
    <row r="1616" spans="1:22" x14ac:dyDescent="0.3">
      <c r="A1616">
        <v>23</v>
      </c>
      <c r="B1616">
        <v>2</v>
      </c>
      <c r="C1616">
        <v>207745</v>
      </c>
      <c r="D1616" t="s">
        <v>22</v>
      </c>
      <c r="E1616" s="10">
        <v>44100</v>
      </c>
      <c r="F1616" t="s">
        <v>23</v>
      </c>
      <c r="G1616" s="3" t="s">
        <v>52</v>
      </c>
      <c r="H1616" t="s">
        <v>244</v>
      </c>
      <c r="S1616">
        <v>2</v>
      </c>
      <c r="T1616" s="13">
        <f t="shared" si="27"/>
        <v>2</v>
      </c>
      <c r="U1616" t="s">
        <v>143</v>
      </c>
    </row>
    <row r="1617" spans="1:22" x14ac:dyDescent="0.3">
      <c r="A1617">
        <v>23</v>
      </c>
      <c r="B1617">
        <v>2</v>
      </c>
      <c r="C1617">
        <v>207745</v>
      </c>
      <c r="D1617" t="s">
        <v>22</v>
      </c>
      <c r="E1617" s="10">
        <v>44100</v>
      </c>
      <c r="F1617" t="s">
        <v>23</v>
      </c>
      <c r="G1617" s="3" t="s">
        <v>52</v>
      </c>
      <c r="H1617" t="s">
        <v>141</v>
      </c>
      <c r="S1617">
        <v>4</v>
      </c>
      <c r="T1617" s="13">
        <f t="shared" si="27"/>
        <v>4</v>
      </c>
      <c r="U1617" t="s">
        <v>143</v>
      </c>
    </row>
    <row r="1618" spans="1:22" x14ac:dyDescent="0.3">
      <c r="A1618">
        <v>23</v>
      </c>
      <c r="B1618">
        <v>2</v>
      </c>
      <c r="C1618">
        <v>207745</v>
      </c>
      <c r="D1618" t="s">
        <v>22</v>
      </c>
      <c r="E1618" s="10">
        <v>44100</v>
      </c>
      <c r="F1618" t="s">
        <v>23</v>
      </c>
      <c r="G1618" s="3" t="s">
        <v>75</v>
      </c>
      <c r="H1618" t="s">
        <v>69</v>
      </c>
      <c r="I1618">
        <v>3</v>
      </c>
      <c r="T1618" s="13">
        <f t="shared" si="27"/>
        <v>3</v>
      </c>
      <c r="U1618" t="s">
        <v>144</v>
      </c>
    </row>
    <row r="1619" spans="1:22" x14ac:dyDescent="0.3">
      <c r="A1619">
        <v>23</v>
      </c>
      <c r="B1619">
        <v>2</v>
      </c>
      <c r="C1619">
        <v>207745</v>
      </c>
      <c r="D1619" t="s">
        <v>22</v>
      </c>
      <c r="E1619" s="10">
        <v>44100</v>
      </c>
      <c r="F1619" t="s">
        <v>23</v>
      </c>
      <c r="G1619" s="3" t="s">
        <v>75</v>
      </c>
      <c r="H1619" t="s">
        <v>25</v>
      </c>
      <c r="N1619">
        <v>2</v>
      </c>
      <c r="O1619">
        <v>15</v>
      </c>
      <c r="P1619">
        <v>49</v>
      </c>
      <c r="Q1619">
        <v>2</v>
      </c>
      <c r="R1619">
        <v>1</v>
      </c>
      <c r="T1619" s="13">
        <f t="shared" si="27"/>
        <v>69</v>
      </c>
      <c r="U1619" t="s">
        <v>144</v>
      </c>
    </row>
    <row r="1620" spans="1:22" x14ac:dyDescent="0.3">
      <c r="A1620">
        <v>23</v>
      </c>
      <c r="B1620">
        <v>2</v>
      </c>
      <c r="C1620">
        <v>207745</v>
      </c>
      <c r="D1620" t="s">
        <v>22</v>
      </c>
      <c r="E1620" s="10">
        <v>44100</v>
      </c>
      <c r="F1620" t="s">
        <v>23</v>
      </c>
      <c r="G1620" s="3" t="s">
        <v>73</v>
      </c>
      <c r="H1620" t="s">
        <v>60</v>
      </c>
      <c r="S1620">
        <v>2</v>
      </c>
      <c r="T1620" s="13">
        <f t="shared" si="27"/>
        <v>2</v>
      </c>
      <c r="U1620" t="s">
        <v>144</v>
      </c>
      <c r="V1620" s="15" t="s">
        <v>177</v>
      </c>
    </row>
    <row r="1621" spans="1:22" x14ac:dyDescent="0.3">
      <c r="A1621">
        <v>23</v>
      </c>
      <c r="B1621">
        <v>2</v>
      </c>
      <c r="C1621">
        <v>207745</v>
      </c>
      <c r="D1621" t="s">
        <v>22</v>
      </c>
      <c r="E1621" s="10">
        <v>44100</v>
      </c>
      <c r="F1621" t="s">
        <v>23</v>
      </c>
      <c r="G1621" s="3" t="s">
        <v>73</v>
      </c>
      <c r="H1621" t="s">
        <v>30</v>
      </c>
      <c r="I1621">
        <v>5</v>
      </c>
      <c r="J1621">
        <v>18</v>
      </c>
      <c r="T1621" s="13">
        <f t="shared" si="27"/>
        <v>23</v>
      </c>
      <c r="U1621" t="s">
        <v>144</v>
      </c>
    </row>
    <row r="1622" spans="1:22" x14ac:dyDescent="0.3">
      <c r="A1622">
        <v>23</v>
      </c>
      <c r="B1622">
        <v>2</v>
      </c>
      <c r="C1622">
        <v>207745</v>
      </c>
      <c r="D1622" t="s">
        <v>22</v>
      </c>
      <c r="E1622" s="10">
        <v>44100</v>
      </c>
      <c r="F1622" t="s">
        <v>23</v>
      </c>
      <c r="G1622" s="3" t="s">
        <v>73</v>
      </c>
      <c r="H1622" t="s">
        <v>98</v>
      </c>
      <c r="Q1622">
        <v>1</v>
      </c>
      <c r="T1622" s="13">
        <f t="shared" si="27"/>
        <v>1</v>
      </c>
      <c r="U1622" t="s">
        <v>144</v>
      </c>
    </row>
    <row r="1623" spans="1:22" x14ac:dyDescent="0.3">
      <c r="A1623">
        <v>23</v>
      </c>
      <c r="B1623">
        <v>2</v>
      </c>
      <c r="C1623">
        <v>207745</v>
      </c>
      <c r="D1623" t="s">
        <v>22</v>
      </c>
      <c r="E1623" s="10">
        <v>44100</v>
      </c>
      <c r="F1623" t="s">
        <v>23</v>
      </c>
      <c r="G1623" s="3" t="s">
        <v>73</v>
      </c>
      <c r="H1623" t="s">
        <v>44</v>
      </c>
      <c r="N1623">
        <v>1</v>
      </c>
      <c r="O1623">
        <v>1</v>
      </c>
      <c r="T1623" s="13">
        <f t="shared" si="27"/>
        <v>2</v>
      </c>
      <c r="U1623" t="s">
        <v>144</v>
      </c>
    </row>
    <row r="1624" spans="1:22" x14ac:dyDescent="0.3">
      <c r="A1624">
        <v>23</v>
      </c>
      <c r="B1624">
        <v>2</v>
      </c>
      <c r="C1624">
        <v>207745</v>
      </c>
      <c r="D1624" t="s">
        <v>22</v>
      </c>
      <c r="E1624" s="10">
        <v>44100</v>
      </c>
      <c r="F1624" t="s">
        <v>23</v>
      </c>
      <c r="G1624" s="3" t="s">
        <v>73</v>
      </c>
      <c r="H1624" t="s">
        <v>64</v>
      </c>
      <c r="S1624">
        <v>1</v>
      </c>
      <c r="T1624" s="13">
        <f t="shared" si="27"/>
        <v>1</v>
      </c>
      <c r="U1624" t="s">
        <v>144</v>
      </c>
    </row>
    <row r="1625" spans="1:22" x14ac:dyDescent="0.3">
      <c r="A1625">
        <v>23</v>
      </c>
      <c r="B1625">
        <v>2</v>
      </c>
      <c r="C1625">
        <v>207745</v>
      </c>
      <c r="D1625" t="s">
        <v>22</v>
      </c>
      <c r="E1625" s="10">
        <v>44100</v>
      </c>
      <c r="F1625" t="s">
        <v>23</v>
      </c>
      <c r="G1625" s="3" t="s">
        <v>73</v>
      </c>
      <c r="H1625" t="s">
        <v>37</v>
      </c>
      <c r="O1625">
        <v>13</v>
      </c>
      <c r="P1625">
        <v>11</v>
      </c>
      <c r="Q1625">
        <v>16</v>
      </c>
      <c r="R1625">
        <v>1</v>
      </c>
      <c r="T1625" s="13">
        <f t="shared" si="27"/>
        <v>41</v>
      </c>
      <c r="U1625" t="s">
        <v>144</v>
      </c>
    </row>
    <row r="1626" spans="1:22" x14ac:dyDescent="0.3">
      <c r="A1626">
        <v>23</v>
      </c>
      <c r="B1626">
        <v>2</v>
      </c>
      <c r="C1626">
        <v>207745</v>
      </c>
      <c r="D1626" t="s">
        <v>22</v>
      </c>
      <c r="E1626" s="10">
        <v>44100</v>
      </c>
      <c r="F1626" t="s">
        <v>23</v>
      </c>
      <c r="G1626" s="3" t="s">
        <v>73</v>
      </c>
      <c r="H1626" t="s">
        <v>31</v>
      </c>
      <c r="P1626">
        <v>5</v>
      </c>
      <c r="Q1626">
        <v>3</v>
      </c>
      <c r="T1626" s="13">
        <f t="shared" si="27"/>
        <v>8</v>
      </c>
      <c r="U1626" t="s">
        <v>144</v>
      </c>
    </row>
    <row r="1627" spans="1:22" x14ac:dyDescent="0.3">
      <c r="A1627">
        <v>23</v>
      </c>
      <c r="B1627">
        <v>2</v>
      </c>
      <c r="C1627">
        <v>207745</v>
      </c>
      <c r="D1627" t="s">
        <v>22</v>
      </c>
      <c r="E1627" s="10">
        <v>44100</v>
      </c>
      <c r="F1627" t="s">
        <v>23</v>
      </c>
      <c r="G1627" s="3" t="s">
        <v>73</v>
      </c>
      <c r="H1627" t="s">
        <v>38</v>
      </c>
      <c r="P1627">
        <v>19</v>
      </c>
      <c r="Q1627">
        <v>12</v>
      </c>
      <c r="R1627">
        <v>16</v>
      </c>
      <c r="T1627" s="13">
        <f t="shared" si="27"/>
        <v>47</v>
      </c>
      <c r="U1627" t="s">
        <v>144</v>
      </c>
    </row>
    <row r="1628" spans="1:22" x14ac:dyDescent="0.3">
      <c r="A1628">
        <v>23</v>
      </c>
      <c r="B1628">
        <v>2</v>
      </c>
      <c r="C1628">
        <v>207745</v>
      </c>
      <c r="D1628" t="s">
        <v>22</v>
      </c>
      <c r="E1628" s="10">
        <v>44100</v>
      </c>
      <c r="F1628" t="s">
        <v>23</v>
      </c>
      <c r="G1628" s="3" t="s">
        <v>73</v>
      </c>
      <c r="H1628" t="s">
        <v>43</v>
      </c>
      <c r="K1628">
        <v>2</v>
      </c>
      <c r="Q1628">
        <v>9</v>
      </c>
      <c r="T1628" s="13">
        <f t="shared" si="27"/>
        <v>11</v>
      </c>
      <c r="U1628" t="s">
        <v>144</v>
      </c>
    </row>
    <row r="1629" spans="1:22" x14ac:dyDescent="0.3">
      <c r="A1629">
        <v>23</v>
      </c>
      <c r="B1629">
        <v>2</v>
      </c>
      <c r="C1629">
        <v>207745</v>
      </c>
      <c r="D1629" t="s">
        <v>22</v>
      </c>
      <c r="E1629" s="10">
        <v>44100</v>
      </c>
      <c r="F1629" t="s">
        <v>23</v>
      </c>
      <c r="G1629" s="3" t="s">
        <v>73</v>
      </c>
      <c r="H1629" t="s">
        <v>33</v>
      </c>
      <c r="Q1629">
        <v>1</v>
      </c>
      <c r="R1629">
        <v>2</v>
      </c>
      <c r="T1629" s="13">
        <f t="shared" si="27"/>
        <v>3</v>
      </c>
      <c r="U1629" t="s">
        <v>144</v>
      </c>
    </row>
    <row r="1630" spans="1:22" x14ac:dyDescent="0.3">
      <c r="A1630">
        <v>23</v>
      </c>
      <c r="B1630">
        <v>2</v>
      </c>
      <c r="C1630">
        <v>207745</v>
      </c>
      <c r="D1630" t="s">
        <v>22</v>
      </c>
      <c r="E1630" s="10">
        <v>44100</v>
      </c>
      <c r="F1630" t="s">
        <v>23</v>
      </c>
      <c r="G1630" s="3" t="s">
        <v>73</v>
      </c>
      <c r="H1630" t="s">
        <v>45</v>
      </c>
      <c r="K1630">
        <v>3</v>
      </c>
      <c r="T1630" s="13">
        <f t="shared" si="27"/>
        <v>3</v>
      </c>
      <c r="U1630" t="s">
        <v>144</v>
      </c>
    </row>
    <row r="1631" spans="1:22" x14ac:dyDescent="0.3">
      <c r="A1631">
        <v>23</v>
      </c>
      <c r="B1631">
        <v>2</v>
      </c>
      <c r="C1631">
        <v>207745</v>
      </c>
      <c r="D1631" t="s">
        <v>22</v>
      </c>
      <c r="E1631" s="10">
        <v>44100</v>
      </c>
      <c r="F1631" t="s">
        <v>23</v>
      </c>
      <c r="G1631" s="3" t="s">
        <v>73</v>
      </c>
      <c r="H1631" t="s">
        <v>46</v>
      </c>
      <c r="Q1631">
        <v>18</v>
      </c>
      <c r="T1631" s="13">
        <f t="shared" si="27"/>
        <v>18</v>
      </c>
      <c r="U1631" t="s">
        <v>144</v>
      </c>
    </row>
    <row r="1632" spans="1:22" x14ac:dyDescent="0.3">
      <c r="A1632">
        <v>23</v>
      </c>
      <c r="B1632">
        <v>2</v>
      </c>
      <c r="C1632">
        <v>207745</v>
      </c>
      <c r="D1632" t="s">
        <v>22</v>
      </c>
      <c r="E1632" s="10">
        <v>44100</v>
      </c>
      <c r="F1632" t="s">
        <v>23</v>
      </c>
      <c r="G1632" s="3" t="s">
        <v>73</v>
      </c>
      <c r="H1632" t="s">
        <v>32</v>
      </c>
      <c r="O1632">
        <v>15</v>
      </c>
      <c r="T1632" s="13">
        <f t="shared" si="27"/>
        <v>15</v>
      </c>
      <c r="U1632" t="s">
        <v>144</v>
      </c>
    </row>
    <row r="1633" spans="1:22" x14ac:dyDescent="0.3">
      <c r="A1633">
        <v>23</v>
      </c>
      <c r="B1633">
        <v>2</v>
      </c>
      <c r="C1633">
        <v>207745</v>
      </c>
      <c r="D1633" t="s">
        <v>22</v>
      </c>
      <c r="E1633" s="10">
        <v>44100</v>
      </c>
      <c r="F1633" t="s">
        <v>23</v>
      </c>
      <c r="G1633" s="3" t="s">
        <v>73</v>
      </c>
      <c r="H1633" t="s">
        <v>41</v>
      </c>
      <c r="S1633">
        <v>9</v>
      </c>
      <c r="T1633" s="13">
        <f t="shared" si="27"/>
        <v>9</v>
      </c>
      <c r="U1633" t="s">
        <v>144</v>
      </c>
    </row>
    <row r="1634" spans="1:22" x14ac:dyDescent="0.3">
      <c r="A1634">
        <v>23</v>
      </c>
      <c r="B1634">
        <v>2</v>
      </c>
      <c r="C1634">
        <v>207745</v>
      </c>
      <c r="D1634" t="s">
        <v>22</v>
      </c>
      <c r="E1634" s="10">
        <v>44100</v>
      </c>
      <c r="F1634" t="s">
        <v>23</v>
      </c>
      <c r="G1634" s="3" t="s">
        <v>73</v>
      </c>
      <c r="H1634" t="s">
        <v>50</v>
      </c>
      <c r="S1634">
        <v>1</v>
      </c>
      <c r="T1634" s="13">
        <f t="shared" si="27"/>
        <v>1</v>
      </c>
      <c r="U1634" t="s">
        <v>144</v>
      </c>
    </row>
    <row r="1635" spans="1:22" x14ac:dyDescent="0.3">
      <c r="A1635">
        <v>23</v>
      </c>
      <c r="B1635">
        <v>2</v>
      </c>
      <c r="C1635">
        <v>207745</v>
      </c>
      <c r="D1635" t="s">
        <v>22</v>
      </c>
      <c r="E1635" s="10">
        <v>44100</v>
      </c>
      <c r="F1635" t="s">
        <v>23</v>
      </c>
      <c r="G1635" s="3" t="s">
        <v>73</v>
      </c>
      <c r="H1635" t="s">
        <v>56</v>
      </c>
      <c r="S1635">
        <v>1</v>
      </c>
      <c r="T1635" s="13">
        <f t="shared" si="27"/>
        <v>1</v>
      </c>
      <c r="U1635" t="s">
        <v>144</v>
      </c>
    </row>
    <row r="1636" spans="1:22" s="5" customFormat="1" ht="16.2" thickBot="1" x14ac:dyDescent="0.35">
      <c r="A1636" s="5">
        <v>23</v>
      </c>
      <c r="B1636" s="5">
        <v>2</v>
      </c>
      <c r="C1636" s="5">
        <v>207745</v>
      </c>
      <c r="D1636" s="5" t="s">
        <v>22</v>
      </c>
      <c r="E1636" s="11">
        <v>44100</v>
      </c>
      <c r="F1636" s="5" t="s">
        <v>23</v>
      </c>
      <c r="G1636" s="6" t="s">
        <v>73</v>
      </c>
      <c r="H1636" s="5" t="s">
        <v>34</v>
      </c>
      <c r="S1636" s="5">
        <v>1</v>
      </c>
      <c r="T1636" s="12">
        <f t="shared" si="27"/>
        <v>1</v>
      </c>
      <c r="U1636" s="5" t="s">
        <v>144</v>
      </c>
      <c r="V1636" s="14"/>
    </row>
    <row r="1637" spans="1:22" ht="46.8" x14ac:dyDescent="0.3">
      <c r="A1637">
        <v>23</v>
      </c>
      <c r="B1637">
        <v>3</v>
      </c>
      <c r="C1637">
        <v>207746</v>
      </c>
      <c r="D1637" t="s">
        <v>22</v>
      </c>
      <c r="E1637" s="10">
        <v>44100</v>
      </c>
      <c r="F1637" t="s">
        <v>23</v>
      </c>
      <c r="G1637" s="3" t="s">
        <v>68</v>
      </c>
      <c r="H1637" t="s">
        <v>25</v>
      </c>
      <c r="M1637">
        <v>1</v>
      </c>
      <c r="N1637">
        <v>3</v>
      </c>
      <c r="O1637">
        <v>1</v>
      </c>
      <c r="P1637">
        <v>5</v>
      </c>
      <c r="T1637" s="13">
        <f t="shared" si="27"/>
        <v>10</v>
      </c>
      <c r="U1637" t="s">
        <v>144</v>
      </c>
      <c r="V1637" s="15" t="s">
        <v>179</v>
      </c>
    </row>
    <row r="1638" spans="1:22" x14ac:dyDescent="0.3">
      <c r="A1638">
        <v>23</v>
      </c>
      <c r="B1638">
        <v>3</v>
      </c>
      <c r="C1638">
        <v>207746</v>
      </c>
      <c r="D1638" t="s">
        <v>22</v>
      </c>
      <c r="E1638" s="10">
        <v>44100</v>
      </c>
      <c r="F1638" t="s">
        <v>23</v>
      </c>
      <c r="G1638" s="3" t="s">
        <v>178</v>
      </c>
      <c r="H1638" t="s">
        <v>141</v>
      </c>
      <c r="S1638">
        <v>1</v>
      </c>
      <c r="T1638" s="13">
        <f t="shared" si="27"/>
        <v>1</v>
      </c>
      <c r="U1638" t="s">
        <v>144</v>
      </c>
      <c r="V1638" s="15" t="s">
        <v>171</v>
      </c>
    </row>
    <row r="1639" spans="1:22" x14ac:dyDescent="0.3">
      <c r="A1639">
        <v>23</v>
      </c>
      <c r="B1639">
        <v>3</v>
      </c>
      <c r="C1639">
        <v>207746</v>
      </c>
      <c r="D1639" t="s">
        <v>22</v>
      </c>
      <c r="E1639" s="10">
        <v>44100</v>
      </c>
      <c r="F1639" t="s">
        <v>23</v>
      </c>
      <c r="G1639" s="3" t="s">
        <v>178</v>
      </c>
      <c r="H1639" t="s">
        <v>180</v>
      </c>
      <c r="S1639">
        <v>1</v>
      </c>
      <c r="T1639" s="13">
        <f t="shared" si="27"/>
        <v>1</v>
      </c>
      <c r="U1639" t="s">
        <v>144</v>
      </c>
    </row>
    <row r="1640" spans="1:22" x14ac:dyDescent="0.3">
      <c r="A1640">
        <v>23</v>
      </c>
      <c r="B1640">
        <v>3</v>
      </c>
      <c r="C1640">
        <v>207746</v>
      </c>
      <c r="D1640" t="s">
        <v>22</v>
      </c>
      <c r="E1640" s="10">
        <v>44100</v>
      </c>
      <c r="F1640" t="s">
        <v>23</v>
      </c>
      <c r="G1640" s="3" t="s">
        <v>178</v>
      </c>
      <c r="H1640" t="s">
        <v>30</v>
      </c>
      <c r="I1640">
        <v>13</v>
      </c>
      <c r="J1640">
        <v>8</v>
      </c>
      <c r="T1640" s="13">
        <f t="shared" si="27"/>
        <v>21</v>
      </c>
      <c r="U1640" t="s">
        <v>144</v>
      </c>
    </row>
    <row r="1641" spans="1:22" x14ac:dyDescent="0.3">
      <c r="A1641">
        <v>23</v>
      </c>
      <c r="B1641">
        <v>3</v>
      </c>
      <c r="C1641">
        <v>207746</v>
      </c>
      <c r="D1641" t="s">
        <v>22</v>
      </c>
      <c r="E1641" s="10">
        <v>44100</v>
      </c>
      <c r="F1641" t="s">
        <v>23</v>
      </c>
      <c r="G1641" s="3" t="s">
        <v>178</v>
      </c>
      <c r="H1641" t="s">
        <v>31</v>
      </c>
      <c r="O1641">
        <v>1</v>
      </c>
      <c r="P1641">
        <v>4</v>
      </c>
      <c r="Q1641">
        <v>9</v>
      </c>
      <c r="R1641">
        <v>1</v>
      </c>
      <c r="T1641" s="13">
        <f t="shared" si="27"/>
        <v>15</v>
      </c>
      <c r="U1641" t="s">
        <v>144</v>
      </c>
    </row>
    <row r="1642" spans="1:22" x14ac:dyDescent="0.3">
      <c r="A1642">
        <v>23</v>
      </c>
      <c r="B1642">
        <v>3</v>
      </c>
      <c r="C1642">
        <v>207746</v>
      </c>
      <c r="D1642" t="s">
        <v>22</v>
      </c>
      <c r="E1642" s="10">
        <v>44100</v>
      </c>
      <c r="F1642" t="s">
        <v>23</v>
      </c>
      <c r="G1642" s="3" t="s">
        <v>178</v>
      </c>
      <c r="H1642" t="s">
        <v>37</v>
      </c>
      <c r="O1642">
        <v>6</v>
      </c>
      <c r="P1642">
        <v>5</v>
      </c>
      <c r="Q1642">
        <v>30</v>
      </c>
      <c r="R1642">
        <v>6</v>
      </c>
      <c r="T1642" s="13">
        <f t="shared" si="27"/>
        <v>47</v>
      </c>
      <c r="U1642" t="s">
        <v>144</v>
      </c>
    </row>
    <row r="1643" spans="1:22" x14ac:dyDescent="0.3">
      <c r="A1643">
        <v>23</v>
      </c>
      <c r="B1643">
        <v>3</v>
      </c>
      <c r="C1643">
        <v>207746</v>
      </c>
      <c r="D1643" t="s">
        <v>22</v>
      </c>
      <c r="E1643" s="10">
        <v>44100</v>
      </c>
      <c r="F1643" t="s">
        <v>23</v>
      </c>
      <c r="G1643" s="3" t="s">
        <v>178</v>
      </c>
      <c r="H1643" t="s">
        <v>38</v>
      </c>
      <c r="P1643">
        <v>7</v>
      </c>
      <c r="Q1643">
        <v>13</v>
      </c>
      <c r="R1643">
        <v>12</v>
      </c>
      <c r="T1643" s="13">
        <f t="shared" si="27"/>
        <v>32</v>
      </c>
      <c r="U1643" t="s">
        <v>144</v>
      </c>
    </row>
    <row r="1644" spans="1:22" x14ac:dyDescent="0.3">
      <c r="A1644">
        <v>23</v>
      </c>
      <c r="B1644">
        <v>3</v>
      </c>
      <c r="C1644">
        <v>207746</v>
      </c>
      <c r="D1644" t="s">
        <v>22</v>
      </c>
      <c r="E1644" s="10">
        <v>44100</v>
      </c>
      <c r="F1644" t="s">
        <v>23</v>
      </c>
      <c r="G1644" s="3" t="s">
        <v>178</v>
      </c>
      <c r="H1644" t="s">
        <v>66</v>
      </c>
      <c r="O1644">
        <v>1</v>
      </c>
      <c r="T1644" s="13">
        <f t="shared" si="27"/>
        <v>1</v>
      </c>
      <c r="U1644" t="s">
        <v>144</v>
      </c>
    </row>
    <row r="1645" spans="1:22" x14ac:dyDescent="0.3">
      <c r="A1645">
        <v>23</v>
      </c>
      <c r="B1645">
        <v>3</v>
      </c>
      <c r="C1645">
        <v>207746</v>
      </c>
      <c r="D1645" t="s">
        <v>22</v>
      </c>
      <c r="E1645" s="10">
        <v>44100</v>
      </c>
      <c r="F1645" t="s">
        <v>23</v>
      </c>
      <c r="G1645" s="3" t="s">
        <v>178</v>
      </c>
      <c r="H1645" t="s">
        <v>32</v>
      </c>
      <c r="O1645">
        <v>1</v>
      </c>
      <c r="T1645" s="13">
        <f t="shared" si="27"/>
        <v>1</v>
      </c>
      <c r="U1645" t="s">
        <v>144</v>
      </c>
    </row>
    <row r="1646" spans="1:22" x14ac:dyDescent="0.3">
      <c r="A1646">
        <v>23</v>
      </c>
      <c r="B1646">
        <v>3</v>
      </c>
      <c r="C1646">
        <v>207746</v>
      </c>
      <c r="D1646" t="s">
        <v>22</v>
      </c>
      <c r="E1646" s="10">
        <v>44100</v>
      </c>
      <c r="F1646" t="s">
        <v>23</v>
      </c>
      <c r="G1646" s="3" t="s">
        <v>178</v>
      </c>
      <c r="H1646" t="s">
        <v>34</v>
      </c>
      <c r="P1646">
        <v>2</v>
      </c>
      <c r="T1646" s="13">
        <f t="shared" si="27"/>
        <v>2</v>
      </c>
      <c r="U1646" t="s">
        <v>144</v>
      </c>
    </row>
    <row r="1647" spans="1:22" x14ac:dyDescent="0.3">
      <c r="A1647">
        <v>23</v>
      </c>
      <c r="B1647">
        <v>3</v>
      </c>
      <c r="C1647">
        <v>207746</v>
      </c>
      <c r="D1647" t="s">
        <v>22</v>
      </c>
      <c r="E1647" s="10">
        <v>44100</v>
      </c>
      <c r="F1647" t="s">
        <v>23</v>
      </c>
      <c r="G1647" s="3" t="s">
        <v>178</v>
      </c>
      <c r="H1647" t="s">
        <v>43</v>
      </c>
      <c r="K1647">
        <v>2</v>
      </c>
      <c r="Q1647">
        <v>7</v>
      </c>
      <c r="T1647" s="13">
        <f t="shared" si="27"/>
        <v>9</v>
      </c>
      <c r="U1647" t="s">
        <v>144</v>
      </c>
    </row>
    <row r="1648" spans="1:22" x14ac:dyDescent="0.3">
      <c r="A1648">
        <v>23</v>
      </c>
      <c r="B1648">
        <v>3</v>
      </c>
      <c r="C1648">
        <v>207746</v>
      </c>
      <c r="D1648" t="s">
        <v>22</v>
      </c>
      <c r="E1648" s="10">
        <v>44100</v>
      </c>
      <c r="F1648" t="s">
        <v>23</v>
      </c>
      <c r="G1648" s="3" t="s">
        <v>178</v>
      </c>
      <c r="H1648" t="s">
        <v>33</v>
      </c>
      <c r="R1648">
        <v>3</v>
      </c>
      <c r="T1648" s="13">
        <f t="shared" si="27"/>
        <v>3</v>
      </c>
      <c r="U1648" t="s">
        <v>144</v>
      </c>
    </row>
    <row r="1649" spans="1:22" x14ac:dyDescent="0.3">
      <c r="A1649">
        <v>23</v>
      </c>
      <c r="B1649">
        <v>3</v>
      </c>
      <c r="C1649">
        <v>207746</v>
      </c>
      <c r="D1649" t="s">
        <v>22</v>
      </c>
      <c r="E1649" s="10">
        <v>44100</v>
      </c>
      <c r="F1649" t="s">
        <v>23</v>
      </c>
      <c r="G1649" s="3" t="s">
        <v>178</v>
      </c>
      <c r="H1649" t="s">
        <v>98</v>
      </c>
      <c r="Q1649">
        <v>2</v>
      </c>
      <c r="T1649" s="13">
        <f t="shared" si="27"/>
        <v>2</v>
      </c>
      <c r="U1649" t="s">
        <v>144</v>
      </c>
    </row>
    <row r="1650" spans="1:22" x14ac:dyDescent="0.3">
      <c r="A1650">
        <v>23</v>
      </c>
      <c r="B1650">
        <v>3</v>
      </c>
      <c r="C1650">
        <v>207746</v>
      </c>
      <c r="D1650" t="s">
        <v>22</v>
      </c>
      <c r="E1650" s="10">
        <v>44100</v>
      </c>
      <c r="F1650" t="s">
        <v>23</v>
      </c>
      <c r="G1650" s="3" t="s">
        <v>178</v>
      </c>
      <c r="H1650" t="s">
        <v>56</v>
      </c>
      <c r="S1650">
        <v>1</v>
      </c>
      <c r="T1650" s="13">
        <f t="shared" si="27"/>
        <v>1</v>
      </c>
      <c r="U1650" t="s">
        <v>144</v>
      </c>
    </row>
    <row r="1651" spans="1:22" x14ac:dyDescent="0.3">
      <c r="A1651">
        <v>23</v>
      </c>
      <c r="B1651">
        <v>3</v>
      </c>
      <c r="C1651">
        <v>207746</v>
      </c>
      <c r="D1651" t="s">
        <v>22</v>
      </c>
      <c r="E1651" s="10">
        <v>44100</v>
      </c>
      <c r="F1651" t="s">
        <v>23</v>
      </c>
      <c r="G1651" s="3" t="s">
        <v>178</v>
      </c>
      <c r="H1651" t="s">
        <v>55</v>
      </c>
      <c r="S1651">
        <v>2</v>
      </c>
      <c r="T1651" s="13">
        <f t="shared" si="27"/>
        <v>2</v>
      </c>
      <c r="U1651" t="s">
        <v>144</v>
      </c>
    </row>
    <row r="1652" spans="1:22" x14ac:dyDescent="0.3">
      <c r="A1652">
        <v>23</v>
      </c>
      <c r="B1652">
        <v>3</v>
      </c>
      <c r="C1652">
        <v>207746</v>
      </c>
      <c r="D1652" t="s">
        <v>22</v>
      </c>
      <c r="E1652" s="10">
        <v>44100</v>
      </c>
      <c r="F1652" t="s">
        <v>23</v>
      </c>
      <c r="G1652" s="3" t="s">
        <v>178</v>
      </c>
      <c r="H1652" t="s">
        <v>41</v>
      </c>
      <c r="S1652">
        <v>5</v>
      </c>
      <c r="T1652" s="13">
        <f t="shared" si="27"/>
        <v>5</v>
      </c>
      <c r="U1652" t="s">
        <v>144</v>
      </c>
    </row>
    <row r="1653" spans="1:22" x14ac:dyDescent="0.3">
      <c r="A1653">
        <v>23</v>
      </c>
      <c r="B1653">
        <v>3</v>
      </c>
      <c r="C1653">
        <v>207746</v>
      </c>
      <c r="D1653" t="s">
        <v>22</v>
      </c>
      <c r="E1653" s="10">
        <v>44100</v>
      </c>
      <c r="F1653" t="s">
        <v>23</v>
      </c>
      <c r="G1653" s="3" t="s">
        <v>178</v>
      </c>
      <c r="H1653" t="s">
        <v>50</v>
      </c>
      <c r="S1653">
        <v>1</v>
      </c>
      <c r="T1653" s="13">
        <f t="shared" si="27"/>
        <v>1</v>
      </c>
      <c r="U1653" t="s">
        <v>144</v>
      </c>
    </row>
    <row r="1654" spans="1:22" x14ac:dyDescent="0.3">
      <c r="A1654">
        <v>23</v>
      </c>
      <c r="B1654">
        <v>3</v>
      </c>
      <c r="C1654">
        <v>207746</v>
      </c>
      <c r="D1654" t="s">
        <v>22</v>
      </c>
      <c r="E1654" s="10">
        <v>44100</v>
      </c>
      <c r="F1654" t="s">
        <v>23</v>
      </c>
      <c r="G1654" s="3" t="s">
        <v>178</v>
      </c>
      <c r="H1654" t="s">
        <v>49</v>
      </c>
      <c r="S1654">
        <v>3</v>
      </c>
      <c r="T1654" s="13">
        <f t="shared" si="27"/>
        <v>3</v>
      </c>
      <c r="U1654" t="s">
        <v>144</v>
      </c>
    </row>
    <row r="1655" spans="1:22" x14ac:dyDescent="0.3">
      <c r="A1655">
        <v>23</v>
      </c>
      <c r="B1655">
        <v>3</v>
      </c>
      <c r="C1655">
        <v>207746</v>
      </c>
      <c r="D1655" t="s">
        <v>22</v>
      </c>
      <c r="E1655" s="10">
        <v>44100</v>
      </c>
      <c r="F1655" t="s">
        <v>23</v>
      </c>
      <c r="G1655" s="3" t="s">
        <v>178</v>
      </c>
      <c r="H1655" t="s">
        <v>45</v>
      </c>
      <c r="K1655">
        <v>13</v>
      </c>
      <c r="T1655" s="13">
        <f t="shared" ref="T1655:T1717" si="28">SUM(I1655:S1655)</f>
        <v>13</v>
      </c>
      <c r="U1655" t="s">
        <v>144</v>
      </c>
    </row>
    <row r="1656" spans="1:22" x14ac:dyDescent="0.3">
      <c r="A1656">
        <v>23</v>
      </c>
      <c r="B1656">
        <v>3</v>
      </c>
      <c r="C1656">
        <v>207746</v>
      </c>
      <c r="D1656" t="s">
        <v>22</v>
      </c>
      <c r="E1656" s="10">
        <v>44100</v>
      </c>
      <c r="F1656" t="s">
        <v>23</v>
      </c>
      <c r="G1656" s="3" t="s">
        <v>178</v>
      </c>
      <c r="H1656" t="s">
        <v>46</v>
      </c>
      <c r="Q1656">
        <v>32</v>
      </c>
      <c r="R1656">
        <v>1</v>
      </c>
      <c r="T1656" s="13">
        <f t="shared" si="28"/>
        <v>33</v>
      </c>
      <c r="U1656" t="s">
        <v>144</v>
      </c>
    </row>
    <row r="1657" spans="1:22" s="5" customFormat="1" ht="16.2" thickBot="1" x14ac:dyDescent="0.35">
      <c r="A1657" s="5">
        <v>23</v>
      </c>
      <c r="B1657" s="5">
        <v>3</v>
      </c>
      <c r="C1657" s="5">
        <v>207746</v>
      </c>
      <c r="D1657" s="5" t="s">
        <v>22</v>
      </c>
      <c r="E1657" s="11">
        <v>44100</v>
      </c>
      <c r="F1657" s="5" t="s">
        <v>23</v>
      </c>
      <c r="G1657" s="6" t="s">
        <v>178</v>
      </c>
      <c r="H1657" s="5" t="s">
        <v>57</v>
      </c>
      <c r="S1657" s="5">
        <v>1</v>
      </c>
      <c r="T1657" s="12">
        <f t="shared" si="28"/>
        <v>1</v>
      </c>
      <c r="U1657" s="5" t="s">
        <v>144</v>
      </c>
      <c r="V1657" s="14"/>
    </row>
    <row r="1658" spans="1:22" ht="31.2" x14ac:dyDescent="0.3">
      <c r="A1658">
        <v>23</v>
      </c>
      <c r="B1658">
        <v>4</v>
      </c>
      <c r="C1658">
        <v>207747</v>
      </c>
      <c r="D1658" t="s">
        <v>22</v>
      </c>
      <c r="E1658" s="10">
        <v>44100</v>
      </c>
      <c r="F1658" t="s">
        <v>23</v>
      </c>
      <c r="G1658" s="3" t="s">
        <v>90</v>
      </c>
      <c r="H1658" t="s">
        <v>30</v>
      </c>
      <c r="I1658">
        <v>2</v>
      </c>
      <c r="J1658">
        <v>38</v>
      </c>
      <c r="T1658" s="13">
        <f t="shared" si="28"/>
        <v>40</v>
      </c>
      <c r="U1658" t="s">
        <v>144</v>
      </c>
      <c r="V1658" s="15" t="s">
        <v>182</v>
      </c>
    </row>
    <row r="1659" spans="1:22" x14ac:dyDescent="0.3">
      <c r="A1659">
        <v>23</v>
      </c>
      <c r="B1659">
        <v>4</v>
      </c>
      <c r="C1659">
        <v>207747</v>
      </c>
      <c r="D1659" t="s">
        <v>22</v>
      </c>
      <c r="E1659" s="10">
        <v>44100</v>
      </c>
      <c r="F1659" t="s">
        <v>23</v>
      </c>
      <c r="G1659" s="3" t="s">
        <v>90</v>
      </c>
      <c r="H1659" t="s">
        <v>33</v>
      </c>
      <c r="N1659">
        <v>2</v>
      </c>
      <c r="Q1659">
        <v>1</v>
      </c>
      <c r="R1659">
        <v>5</v>
      </c>
      <c r="T1659" s="13">
        <f t="shared" si="28"/>
        <v>8</v>
      </c>
      <c r="U1659" t="s">
        <v>144</v>
      </c>
    </row>
    <row r="1660" spans="1:22" x14ac:dyDescent="0.3">
      <c r="A1660">
        <v>23</v>
      </c>
      <c r="B1660">
        <v>4</v>
      </c>
      <c r="C1660">
        <v>207747</v>
      </c>
      <c r="D1660" t="s">
        <v>22</v>
      </c>
      <c r="E1660" s="10">
        <v>44100</v>
      </c>
      <c r="F1660" t="s">
        <v>23</v>
      </c>
      <c r="G1660" s="3" t="s">
        <v>90</v>
      </c>
      <c r="H1660" t="s">
        <v>37</v>
      </c>
      <c r="O1660">
        <v>4</v>
      </c>
      <c r="P1660">
        <v>11</v>
      </c>
      <c r="Q1660">
        <v>5</v>
      </c>
      <c r="R1660">
        <v>1</v>
      </c>
      <c r="T1660" s="13">
        <f t="shared" si="28"/>
        <v>21</v>
      </c>
      <c r="U1660" t="s">
        <v>144</v>
      </c>
    </row>
    <row r="1661" spans="1:22" x14ac:dyDescent="0.3">
      <c r="A1661">
        <v>23</v>
      </c>
      <c r="B1661">
        <v>4</v>
      </c>
      <c r="C1661">
        <v>207747</v>
      </c>
      <c r="D1661" t="s">
        <v>22</v>
      </c>
      <c r="E1661" s="10">
        <v>44100</v>
      </c>
      <c r="F1661" t="s">
        <v>23</v>
      </c>
      <c r="G1661" s="3" t="s">
        <v>90</v>
      </c>
      <c r="H1661" t="s">
        <v>38</v>
      </c>
      <c r="P1661">
        <v>41</v>
      </c>
      <c r="Q1661">
        <v>1</v>
      </c>
      <c r="R1661">
        <v>2</v>
      </c>
      <c r="T1661" s="13">
        <f t="shared" si="28"/>
        <v>44</v>
      </c>
      <c r="U1661" t="s">
        <v>144</v>
      </c>
    </row>
    <row r="1662" spans="1:22" x14ac:dyDescent="0.3">
      <c r="A1662">
        <v>23</v>
      </c>
      <c r="B1662">
        <v>4</v>
      </c>
      <c r="C1662">
        <v>207747</v>
      </c>
      <c r="D1662" t="s">
        <v>22</v>
      </c>
      <c r="E1662" s="10">
        <v>44100</v>
      </c>
      <c r="F1662" t="s">
        <v>23</v>
      </c>
      <c r="G1662" s="3" t="s">
        <v>90</v>
      </c>
      <c r="H1662" t="s">
        <v>39</v>
      </c>
      <c r="Q1662">
        <v>1</v>
      </c>
      <c r="T1662" s="13">
        <f t="shared" si="28"/>
        <v>1</v>
      </c>
      <c r="U1662" t="s">
        <v>144</v>
      </c>
    </row>
    <row r="1663" spans="1:22" x14ac:dyDescent="0.3">
      <c r="A1663">
        <v>23</v>
      </c>
      <c r="B1663">
        <v>4</v>
      </c>
      <c r="C1663">
        <v>207747</v>
      </c>
      <c r="D1663" t="s">
        <v>22</v>
      </c>
      <c r="E1663" s="10">
        <v>44100</v>
      </c>
      <c r="F1663" t="s">
        <v>23</v>
      </c>
      <c r="G1663" s="3" t="s">
        <v>90</v>
      </c>
      <c r="H1663" t="s">
        <v>32</v>
      </c>
      <c r="O1663">
        <v>40</v>
      </c>
      <c r="T1663" s="13">
        <f t="shared" si="28"/>
        <v>40</v>
      </c>
      <c r="U1663" t="s">
        <v>144</v>
      </c>
    </row>
    <row r="1664" spans="1:22" x14ac:dyDescent="0.3">
      <c r="A1664">
        <v>23</v>
      </c>
      <c r="B1664">
        <v>4</v>
      </c>
      <c r="C1664">
        <v>207747</v>
      </c>
      <c r="D1664" t="s">
        <v>22</v>
      </c>
      <c r="E1664" s="10">
        <v>44100</v>
      </c>
      <c r="F1664" t="s">
        <v>23</v>
      </c>
      <c r="G1664" s="3" t="s">
        <v>90</v>
      </c>
      <c r="H1664" t="s">
        <v>46</v>
      </c>
      <c r="Q1664">
        <v>32</v>
      </c>
      <c r="T1664" s="13">
        <f t="shared" si="28"/>
        <v>32</v>
      </c>
      <c r="U1664" t="s">
        <v>144</v>
      </c>
    </row>
    <row r="1665" spans="1:22" x14ac:dyDescent="0.3">
      <c r="A1665">
        <v>23</v>
      </c>
      <c r="B1665">
        <v>4</v>
      </c>
      <c r="C1665">
        <v>207747</v>
      </c>
      <c r="D1665" t="s">
        <v>22</v>
      </c>
      <c r="E1665" s="10">
        <v>44100</v>
      </c>
      <c r="F1665" t="s">
        <v>23</v>
      </c>
      <c r="G1665" s="3" t="s">
        <v>90</v>
      </c>
      <c r="H1665" t="s">
        <v>45</v>
      </c>
      <c r="K1665">
        <v>18</v>
      </c>
      <c r="T1665" s="13">
        <f t="shared" si="28"/>
        <v>18</v>
      </c>
      <c r="U1665" t="s">
        <v>144</v>
      </c>
    </row>
    <row r="1666" spans="1:22" x14ac:dyDescent="0.3">
      <c r="A1666">
        <v>23</v>
      </c>
      <c r="B1666">
        <v>4</v>
      </c>
      <c r="C1666">
        <v>207747</v>
      </c>
      <c r="D1666" t="s">
        <v>22</v>
      </c>
      <c r="E1666" s="10">
        <v>44100</v>
      </c>
      <c r="F1666" t="s">
        <v>23</v>
      </c>
      <c r="G1666" s="3" t="s">
        <v>90</v>
      </c>
      <c r="H1666" t="s">
        <v>98</v>
      </c>
      <c r="R1666">
        <v>1</v>
      </c>
      <c r="T1666" s="13">
        <f t="shared" si="28"/>
        <v>1</v>
      </c>
      <c r="U1666" t="s">
        <v>144</v>
      </c>
    </row>
    <row r="1667" spans="1:22" x14ac:dyDescent="0.3">
      <c r="A1667">
        <v>23</v>
      </c>
      <c r="B1667">
        <v>4</v>
      </c>
      <c r="C1667">
        <v>207747</v>
      </c>
      <c r="D1667" t="s">
        <v>22</v>
      </c>
      <c r="E1667" s="10">
        <v>44100</v>
      </c>
      <c r="F1667" t="s">
        <v>23</v>
      </c>
      <c r="G1667" s="3" t="s">
        <v>90</v>
      </c>
      <c r="H1667" t="s">
        <v>41</v>
      </c>
      <c r="S1667">
        <v>4</v>
      </c>
      <c r="T1667" s="13">
        <f t="shared" si="28"/>
        <v>4</v>
      </c>
      <c r="U1667" t="s">
        <v>144</v>
      </c>
    </row>
    <row r="1668" spans="1:22" x14ac:dyDescent="0.3">
      <c r="A1668">
        <v>23</v>
      </c>
      <c r="B1668">
        <v>4</v>
      </c>
      <c r="C1668">
        <v>207747</v>
      </c>
      <c r="D1668" t="s">
        <v>22</v>
      </c>
      <c r="E1668" s="10">
        <v>44100</v>
      </c>
      <c r="F1668" t="s">
        <v>23</v>
      </c>
      <c r="G1668" s="3" t="s">
        <v>90</v>
      </c>
      <c r="H1668" t="s">
        <v>51</v>
      </c>
      <c r="S1668">
        <v>1</v>
      </c>
      <c r="T1668" s="13">
        <f t="shared" si="28"/>
        <v>1</v>
      </c>
      <c r="U1668" t="s">
        <v>144</v>
      </c>
    </row>
    <row r="1669" spans="1:22" x14ac:dyDescent="0.3">
      <c r="A1669">
        <v>23</v>
      </c>
      <c r="B1669">
        <v>4</v>
      </c>
      <c r="C1669">
        <v>207747</v>
      </c>
      <c r="D1669" t="s">
        <v>22</v>
      </c>
      <c r="E1669" s="10">
        <v>44100</v>
      </c>
      <c r="F1669" t="s">
        <v>23</v>
      </c>
      <c r="G1669" s="3" t="s">
        <v>90</v>
      </c>
      <c r="H1669" t="s">
        <v>163</v>
      </c>
      <c r="S1669">
        <v>2</v>
      </c>
      <c r="T1669" s="13">
        <f t="shared" si="28"/>
        <v>2</v>
      </c>
      <c r="U1669" t="s">
        <v>144</v>
      </c>
      <c r="V1669" s="15" t="s">
        <v>191</v>
      </c>
    </row>
    <row r="1670" spans="1:22" s="5" customFormat="1" ht="31.8" thickBot="1" x14ac:dyDescent="0.35">
      <c r="A1670" s="5">
        <v>23</v>
      </c>
      <c r="B1670" s="5">
        <v>4</v>
      </c>
      <c r="C1670">
        <v>207747</v>
      </c>
      <c r="D1670" s="5" t="s">
        <v>22</v>
      </c>
      <c r="E1670" s="11">
        <v>44100</v>
      </c>
      <c r="F1670" s="5" t="s">
        <v>23</v>
      </c>
      <c r="G1670" s="6" t="s">
        <v>52</v>
      </c>
      <c r="H1670" s="5" t="s">
        <v>180</v>
      </c>
      <c r="S1670" s="5">
        <v>1</v>
      </c>
      <c r="T1670" s="12">
        <f t="shared" si="28"/>
        <v>1</v>
      </c>
      <c r="U1670" s="5" t="s">
        <v>143</v>
      </c>
      <c r="V1670" s="14" t="s">
        <v>181</v>
      </c>
    </row>
    <row r="1671" spans="1:22" ht="31.2" x14ac:dyDescent="0.3">
      <c r="A1671">
        <v>23</v>
      </c>
      <c r="B1671">
        <v>5</v>
      </c>
      <c r="C1671">
        <v>207748</v>
      </c>
      <c r="D1671" t="s">
        <v>22</v>
      </c>
      <c r="E1671" s="10">
        <v>44100</v>
      </c>
      <c r="F1671" t="s">
        <v>23</v>
      </c>
      <c r="G1671" s="3" t="s">
        <v>99</v>
      </c>
      <c r="H1671" t="s">
        <v>33</v>
      </c>
      <c r="N1671">
        <v>1</v>
      </c>
      <c r="R1671">
        <v>4</v>
      </c>
      <c r="T1671" s="13">
        <f t="shared" si="28"/>
        <v>5</v>
      </c>
      <c r="U1671" t="s">
        <v>144</v>
      </c>
      <c r="V1671" s="15" t="s">
        <v>183</v>
      </c>
    </row>
    <row r="1672" spans="1:22" x14ac:dyDescent="0.3">
      <c r="A1672">
        <v>23</v>
      </c>
      <c r="B1672">
        <v>5</v>
      </c>
      <c r="C1672">
        <v>207748</v>
      </c>
      <c r="D1672" t="s">
        <v>22</v>
      </c>
      <c r="E1672" s="10">
        <v>44100</v>
      </c>
      <c r="F1672" t="s">
        <v>23</v>
      </c>
      <c r="G1672" s="3" t="s">
        <v>99</v>
      </c>
      <c r="H1672" t="s">
        <v>150</v>
      </c>
      <c r="Q1672">
        <v>1</v>
      </c>
      <c r="T1672" s="13">
        <f t="shared" si="28"/>
        <v>1</v>
      </c>
      <c r="U1672" t="s">
        <v>144</v>
      </c>
    </row>
    <row r="1673" spans="1:22" x14ac:dyDescent="0.3">
      <c r="A1673">
        <v>23</v>
      </c>
      <c r="B1673">
        <v>5</v>
      </c>
      <c r="C1673">
        <v>207748</v>
      </c>
      <c r="D1673" t="s">
        <v>22</v>
      </c>
      <c r="E1673" s="10">
        <v>44100</v>
      </c>
      <c r="F1673" t="s">
        <v>23</v>
      </c>
      <c r="G1673" s="3" t="s">
        <v>99</v>
      </c>
      <c r="H1673" t="s">
        <v>30</v>
      </c>
      <c r="I1673">
        <v>2</v>
      </c>
      <c r="J1673">
        <v>41</v>
      </c>
      <c r="T1673" s="13">
        <f t="shared" si="28"/>
        <v>43</v>
      </c>
      <c r="U1673" t="s">
        <v>144</v>
      </c>
    </row>
    <row r="1674" spans="1:22" x14ac:dyDescent="0.3">
      <c r="A1674">
        <v>23</v>
      </c>
      <c r="B1674">
        <v>5</v>
      </c>
      <c r="C1674">
        <v>207748</v>
      </c>
      <c r="D1674" t="s">
        <v>22</v>
      </c>
      <c r="E1674" s="10">
        <v>44100</v>
      </c>
      <c r="F1674" t="s">
        <v>23</v>
      </c>
      <c r="G1674" s="3" t="s">
        <v>99</v>
      </c>
      <c r="H1674" t="s">
        <v>31</v>
      </c>
      <c r="O1674">
        <v>1</v>
      </c>
      <c r="P1674">
        <v>1</v>
      </c>
      <c r="Q1674">
        <v>1</v>
      </c>
      <c r="R1674">
        <v>1</v>
      </c>
      <c r="T1674" s="13">
        <f t="shared" si="28"/>
        <v>4</v>
      </c>
      <c r="U1674" t="s">
        <v>144</v>
      </c>
    </row>
    <row r="1675" spans="1:22" x14ac:dyDescent="0.3">
      <c r="A1675">
        <v>23</v>
      </c>
      <c r="B1675">
        <v>5</v>
      </c>
      <c r="C1675">
        <v>207748</v>
      </c>
      <c r="D1675" t="s">
        <v>22</v>
      </c>
      <c r="E1675" s="10">
        <v>44100</v>
      </c>
      <c r="F1675" t="s">
        <v>23</v>
      </c>
      <c r="G1675" s="3" t="s">
        <v>99</v>
      </c>
      <c r="H1675" t="s">
        <v>38</v>
      </c>
      <c r="P1675">
        <v>29</v>
      </c>
      <c r="Q1675">
        <v>3</v>
      </c>
      <c r="R1675">
        <v>15</v>
      </c>
      <c r="T1675" s="13">
        <f t="shared" si="28"/>
        <v>47</v>
      </c>
      <c r="U1675" t="s">
        <v>144</v>
      </c>
    </row>
    <row r="1676" spans="1:22" x14ac:dyDescent="0.3">
      <c r="A1676">
        <v>23</v>
      </c>
      <c r="B1676">
        <v>5</v>
      </c>
      <c r="C1676">
        <v>207748</v>
      </c>
      <c r="D1676" t="s">
        <v>22</v>
      </c>
      <c r="E1676" s="10">
        <v>44100</v>
      </c>
      <c r="F1676" t="s">
        <v>23</v>
      </c>
      <c r="G1676" s="3" t="s">
        <v>99</v>
      </c>
      <c r="H1676" t="s">
        <v>39</v>
      </c>
      <c r="Q1676">
        <v>1</v>
      </c>
      <c r="T1676" s="13">
        <f t="shared" si="28"/>
        <v>1</v>
      </c>
      <c r="U1676" t="s">
        <v>144</v>
      </c>
    </row>
    <row r="1677" spans="1:22" x14ac:dyDescent="0.3">
      <c r="A1677">
        <v>23</v>
      </c>
      <c r="B1677">
        <v>5</v>
      </c>
      <c r="C1677">
        <v>207748</v>
      </c>
      <c r="D1677" t="s">
        <v>22</v>
      </c>
      <c r="E1677" s="10">
        <v>44100</v>
      </c>
      <c r="F1677" t="s">
        <v>23</v>
      </c>
      <c r="G1677" s="3" t="s">
        <v>99</v>
      </c>
      <c r="H1677" t="s">
        <v>37</v>
      </c>
      <c r="O1677">
        <v>14</v>
      </c>
      <c r="P1677">
        <v>20</v>
      </c>
      <c r="Q1677">
        <v>9</v>
      </c>
      <c r="T1677" s="13">
        <f t="shared" si="28"/>
        <v>43</v>
      </c>
      <c r="U1677" t="s">
        <v>144</v>
      </c>
    </row>
    <row r="1678" spans="1:22" x14ac:dyDescent="0.3">
      <c r="A1678">
        <v>23</v>
      </c>
      <c r="B1678">
        <v>5</v>
      </c>
      <c r="C1678">
        <v>207748</v>
      </c>
      <c r="D1678" t="s">
        <v>22</v>
      </c>
      <c r="E1678" s="10">
        <v>44100</v>
      </c>
      <c r="F1678" t="s">
        <v>23</v>
      </c>
      <c r="G1678" s="3" t="s">
        <v>99</v>
      </c>
      <c r="H1678" t="s">
        <v>32</v>
      </c>
      <c r="O1678">
        <v>34</v>
      </c>
      <c r="T1678" s="13">
        <f t="shared" si="28"/>
        <v>34</v>
      </c>
      <c r="U1678" t="s">
        <v>144</v>
      </c>
    </row>
    <row r="1679" spans="1:22" x14ac:dyDescent="0.3">
      <c r="A1679">
        <v>23</v>
      </c>
      <c r="B1679">
        <v>5</v>
      </c>
      <c r="C1679">
        <v>207748</v>
      </c>
      <c r="D1679" t="s">
        <v>22</v>
      </c>
      <c r="E1679" s="10">
        <v>44100</v>
      </c>
      <c r="F1679" t="s">
        <v>23</v>
      </c>
      <c r="G1679" s="3" t="s">
        <v>99</v>
      </c>
      <c r="H1679" t="s">
        <v>71</v>
      </c>
      <c r="R1679">
        <v>3</v>
      </c>
      <c r="T1679" s="13">
        <f t="shared" si="28"/>
        <v>3</v>
      </c>
      <c r="U1679" t="s">
        <v>144</v>
      </c>
      <c r="V1679" s="15" t="s">
        <v>184</v>
      </c>
    </row>
    <row r="1680" spans="1:22" x14ac:dyDescent="0.3">
      <c r="A1680">
        <v>23</v>
      </c>
      <c r="B1680">
        <v>5</v>
      </c>
      <c r="C1680">
        <v>207748</v>
      </c>
      <c r="D1680" t="s">
        <v>22</v>
      </c>
      <c r="E1680" s="10">
        <v>44100</v>
      </c>
      <c r="F1680" t="s">
        <v>23</v>
      </c>
      <c r="G1680" s="3" t="s">
        <v>99</v>
      </c>
      <c r="H1680" t="s">
        <v>41</v>
      </c>
      <c r="S1680">
        <v>2</v>
      </c>
      <c r="T1680" s="13">
        <f t="shared" si="28"/>
        <v>2</v>
      </c>
      <c r="U1680" t="s">
        <v>144</v>
      </c>
    </row>
    <row r="1681" spans="1:22" x14ac:dyDescent="0.3">
      <c r="A1681">
        <v>23</v>
      </c>
      <c r="B1681">
        <v>5</v>
      </c>
      <c r="C1681">
        <v>207748</v>
      </c>
      <c r="D1681" t="s">
        <v>22</v>
      </c>
      <c r="E1681" s="10">
        <v>44100</v>
      </c>
      <c r="F1681" t="s">
        <v>23</v>
      </c>
      <c r="G1681" s="3" t="s">
        <v>99</v>
      </c>
      <c r="H1681" t="s">
        <v>49</v>
      </c>
      <c r="S1681">
        <v>7</v>
      </c>
      <c r="T1681" s="13">
        <f t="shared" si="28"/>
        <v>7</v>
      </c>
      <c r="U1681" t="s">
        <v>144</v>
      </c>
    </row>
    <row r="1682" spans="1:22" x14ac:dyDescent="0.3">
      <c r="A1682">
        <v>23</v>
      </c>
      <c r="B1682">
        <v>5</v>
      </c>
      <c r="C1682">
        <v>207748</v>
      </c>
      <c r="D1682" t="s">
        <v>22</v>
      </c>
      <c r="E1682" s="10">
        <v>44100</v>
      </c>
      <c r="F1682" t="s">
        <v>23</v>
      </c>
      <c r="G1682" s="3" t="s">
        <v>99</v>
      </c>
      <c r="H1682" t="s">
        <v>50</v>
      </c>
      <c r="S1682">
        <v>2</v>
      </c>
      <c r="T1682" s="13">
        <f t="shared" si="28"/>
        <v>2</v>
      </c>
      <c r="U1682" t="s">
        <v>144</v>
      </c>
    </row>
    <row r="1683" spans="1:22" x14ac:dyDescent="0.3">
      <c r="A1683">
        <v>23</v>
      </c>
      <c r="B1683">
        <v>5</v>
      </c>
      <c r="C1683">
        <v>207748</v>
      </c>
      <c r="D1683" t="s">
        <v>22</v>
      </c>
      <c r="E1683" s="10">
        <v>44100</v>
      </c>
      <c r="F1683" t="s">
        <v>23</v>
      </c>
      <c r="G1683" s="3" t="s">
        <v>99</v>
      </c>
      <c r="H1683" t="s">
        <v>56</v>
      </c>
      <c r="S1683">
        <v>2</v>
      </c>
      <c r="T1683" s="13">
        <f t="shared" si="28"/>
        <v>2</v>
      </c>
      <c r="U1683" t="s">
        <v>144</v>
      </c>
    </row>
    <row r="1684" spans="1:22" x14ac:dyDescent="0.3">
      <c r="A1684">
        <v>23</v>
      </c>
      <c r="B1684">
        <v>5</v>
      </c>
      <c r="C1684">
        <v>207748</v>
      </c>
      <c r="D1684" t="s">
        <v>22</v>
      </c>
      <c r="E1684" s="10">
        <v>44100</v>
      </c>
      <c r="F1684" t="s">
        <v>23</v>
      </c>
      <c r="G1684" s="3" t="s">
        <v>99</v>
      </c>
      <c r="H1684" t="s">
        <v>278</v>
      </c>
      <c r="I1684">
        <v>2</v>
      </c>
      <c r="T1684" s="13">
        <f t="shared" si="28"/>
        <v>2</v>
      </c>
      <c r="U1684" t="s">
        <v>144</v>
      </c>
    </row>
    <row r="1685" spans="1:22" x14ac:dyDescent="0.3">
      <c r="A1685">
        <v>23</v>
      </c>
      <c r="B1685">
        <v>5</v>
      </c>
      <c r="C1685">
        <v>207748</v>
      </c>
      <c r="D1685" t="s">
        <v>22</v>
      </c>
      <c r="E1685" s="10">
        <v>44100</v>
      </c>
      <c r="F1685" t="s">
        <v>23</v>
      </c>
      <c r="G1685" s="3" t="s">
        <v>99</v>
      </c>
      <c r="H1685" t="s">
        <v>46</v>
      </c>
      <c r="Q1685">
        <v>46</v>
      </c>
      <c r="R1685">
        <v>2</v>
      </c>
      <c r="T1685" s="13">
        <f t="shared" si="28"/>
        <v>48</v>
      </c>
      <c r="U1685" t="s">
        <v>144</v>
      </c>
    </row>
    <row r="1686" spans="1:22" x14ac:dyDescent="0.3">
      <c r="A1686">
        <v>23</v>
      </c>
      <c r="B1686">
        <v>5</v>
      </c>
      <c r="C1686">
        <v>207748</v>
      </c>
      <c r="D1686" t="s">
        <v>22</v>
      </c>
      <c r="E1686" s="10">
        <v>44100</v>
      </c>
      <c r="F1686" t="s">
        <v>23</v>
      </c>
      <c r="G1686" s="3" t="s">
        <v>99</v>
      </c>
      <c r="H1686" t="s">
        <v>45</v>
      </c>
      <c r="I1686">
        <v>1</v>
      </c>
      <c r="K1686">
        <v>23</v>
      </c>
      <c r="T1686" s="13">
        <f t="shared" si="28"/>
        <v>24</v>
      </c>
      <c r="U1686" t="s">
        <v>144</v>
      </c>
    </row>
    <row r="1687" spans="1:22" s="5" customFormat="1" ht="16.2" thickBot="1" x14ac:dyDescent="0.35">
      <c r="A1687" s="5">
        <v>23</v>
      </c>
      <c r="B1687" s="5">
        <v>5</v>
      </c>
      <c r="C1687" s="5">
        <v>207748</v>
      </c>
      <c r="D1687" s="5" t="s">
        <v>22</v>
      </c>
      <c r="E1687" s="11">
        <v>44100</v>
      </c>
      <c r="F1687" s="5" t="s">
        <v>23</v>
      </c>
      <c r="G1687" s="6" t="s">
        <v>99</v>
      </c>
      <c r="H1687" s="5" t="s">
        <v>44</v>
      </c>
      <c r="N1687" s="5">
        <v>1</v>
      </c>
      <c r="T1687" s="12">
        <f t="shared" si="28"/>
        <v>1</v>
      </c>
      <c r="U1687" s="5" t="s">
        <v>144</v>
      </c>
      <c r="V1687" s="14"/>
    </row>
    <row r="1688" spans="1:22" x14ac:dyDescent="0.3">
      <c r="A1688">
        <v>24</v>
      </c>
      <c r="B1688">
        <v>1</v>
      </c>
      <c r="C1688">
        <v>207749</v>
      </c>
      <c r="D1688" t="s">
        <v>22</v>
      </c>
      <c r="E1688" s="10">
        <v>44100</v>
      </c>
      <c r="F1688" t="s">
        <v>23</v>
      </c>
      <c r="G1688" s="3" t="s">
        <v>52</v>
      </c>
      <c r="H1688" t="s">
        <v>141</v>
      </c>
      <c r="S1688">
        <v>5</v>
      </c>
      <c r="T1688" s="13">
        <f t="shared" si="28"/>
        <v>5</v>
      </c>
      <c r="U1688" t="s">
        <v>143</v>
      </c>
      <c r="V1688" s="15" t="s">
        <v>185</v>
      </c>
    </row>
    <row r="1689" spans="1:22" x14ac:dyDescent="0.3">
      <c r="A1689">
        <v>24</v>
      </c>
      <c r="B1689">
        <v>1</v>
      </c>
      <c r="C1689">
        <v>207749</v>
      </c>
      <c r="D1689" t="s">
        <v>22</v>
      </c>
      <c r="E1689" s="10">
        <v>44100</v>
      </c>
      <c r="F1689" t="s">
        <v>23</v>
      </c>
      <c r="G1689" s="3" t="s">
        <v>52</v>
      </c>
      <c r="H1689" t="s">
        <v>244</v>
      </c>
      <c r="S1689">
        <v>1</v>
      </c>
      <c r="T1689" s="13">
        <f t="shared" si="28"/>
        <v>1</v>
      </c>
      <c r="U1689" t="s">
        <v>143</v>
      </c>
      <c r="V1689" s="15" t="s">
        <v>171</v>
      </c>
    </row>
    <row r="1690" spans="1:22" x14ac:dyDescent="0.3">
      <c r="A1690">
        <v>24</v>
      </c>
      <c r="B1690">
        <v>1</v>
      </c>
      <c r="C1690">
        <v>207749</v>
      </c>
      <c r="D1690" t="s">
        <v>22</v>
      </c>
      <c r="E1690" s="10">
        <v>44100</v>
      </c>
      <c r="F1690" t="s">
        <v>23</v>
      </c>
      <c r="G1690" s="3" t="s">
        <v>52</v>
      </c>
      <c r="H1690" t="s">
        <v>25</v>
      </c>
      <c r="P1690">
        <v>1</v>
      </c>
      <c r="T1690" s="13">
        <f t="shared" si="28"/>
        <v>1</v>
      </c>
      <c r="U1690" t="s">
        <v>144</v>
      </c>
    </row>
    <row r="1691" spans="1:22" x14ac:dyDescent="0.3">
      <c r="A1691">
        <v>24</v>
      </c>
      <c r="B1691">
        <v>1</v>
      </c>
      <c r="C1691">
        <v>207749</v>
      </c>
      <c r="D1691" t="s">
        <v>22</v>
      </c>
      <c r="E1691" s="10">
        <v>44100</v>
      </c>
      <c r="F1691" t="s">
        <v>23</v>
      </c>
      <c r="G1691" s="3" t="s">
        <v>52</v>
      </c>
      <c r="H1691" t="s">
        <v>45</v>
      </c>
      <c r="K1691">
        <v>1</v>
      </c>
      <c r="T1691" s="13">
        <f t="shared" si="28"/>
        <v>1</v>
      </c>
      <c r="U1691" t="s">
        <v>144</v>
      </c>
    </row>
    <row r="1692" spans="1:22" x14ac:dyDescent="0.3">
      <c r="A1692">
        <v>24</v>
      </c>
      <c r="B1692">
        <v>1</v>
      </c>
      <c r="C1692">
        <v>207749</v>
      </c>
      <c r="D1692" t="s">
        <v>22</v>
      </c>
      <c r="E1692" s="10">
        <v>44100</v>
      </c>
      <c r="F1692" t="s">
        <v>23</v>
      </c>
      <c r="G1692" s="3" t="s">
        <v>73</v>
      </c>
      <c r="H1692" t="s">
        <v>44</v>
      </c>
      <c r="N1692">
        <v>1</v>
      </c>
      <c r="T1692" s="13">
        <f t="shared" si="28"/>
        <v>1</v>
      </c>
      <c r="U1692" t="s">
        <v>144</v>
      </c>
    </row>
    <row r="1693" spans="1:22" x14ac:dyDescent="0.3">
      <c r="A1693">
        <v>24</v>
      </c>
      <c r="B1693">
        <v>1</v>
      </c>
      <c r="C1693">
        <v>207749</v>
      </c>
      <c r="D1693" t="s">
        <v>22</v>
      </c>
      <c r="E1693" s="10">
        <v>44100</v>
      </c>
      <c r="F1693" t="s">
        <v>23</v>
      </c>
      <c r="G1693" s="3" t="s">
        <v>73</v>
      </c>
      <c r="H1693" t="s">
        <v>25</v>
      </c>
      <c r="N1693">
        <v>1</v>
      </c>
      <c r="O1693">
        <v>70</v>
      </c>
      <c r="P1693">
        <v>160</v>
      </c>
      <c r="T1693" s="13">
        <f t="shared" si="28"/>
        <v>231</v>
      </c>
      <c r="U1693" t="s">
        <v>144</v>
      </c>
    </row>
    <row r="1694" spans="1:22" x14ac:dyDescent="0.3">
      <c r="A1694">
        <v>24</v>
      </c>
      <c r="B1694">
        <v>1</v>
      </c>
      <c r="C1694">
        <v>207749</v>
      </c>
      <c r="D1694" t="s">
        <v>22</v>
      </c>
      <c r="E1694" s="10">
        <v>44100</v>
      </c>
      <c r="F1694" t="s">
        <v>23</v>
      </c>
      <c r="G1694" s="3" t="s">
        <v>73</v>
      </c>
      <c r="H1694" t="s">
        <v>27</v>
      </c>
      <c r="P1694">
        <v>2</v>
      </c>
      <c r="T1694" s="13">
        <f t="shared" si="28"/>
        <v>2</v>
      </c>
      <c r="U1694" t="s">
        <v>144</v>
      </c>
    </row>
    <row r="1695" spans="1:22" x14ac:dyDescent="0.3">
      <c r="A1695">
        <v>24</v>
      </c>
      <c r="B1695">
        <v>1</v>
      </c>
      <c r="C1695">
        <v>207749</v>
      </c>
      <c r="D1695" t="s">
        <v>22</v>
      </c>
      <c r="E1695" s="10">
        <v>44100</v>
      </c>
      <c r="F1695" t="s">
        <v>23</v>
      </c>
      <c r="G1695" s="3" t="s">
        <v>73</v>
      </c>
      <c r="H1695" t="s">
        <v>274</v>
      </c>
      <c r="S1695">
        <v>1</v>
      </c>
      <c r="T1695" s="13">
        <f t="shared" si="28"/>
        <v>1</v>
      </c>
      <c r="U1695" t="s">
        <v>144</v>
      </c>
    </row>
    <row r="1696" spans="1:22" x14ac:dyDescent="0.3">
      <c r="A1696">
        <v>24</v>
      </c>
      <c r="B1696">
        <v>1</v>
      </c>
      <c r="C1696">
        <v>207749</v>
      </c>
      <c r="D1696" t="s">
        <v>22</v>
      </c>
      <c r="E1696" s="10">
        <v>44100</v>
      </c>
      <c r="F1696" t="s">
        <v>23</v>
      </c>
      <c r="G1696" s="3" t="s">
        <v>73</v>
      </c>
      <c r="H1696" t="s">
        <v>142</v>
      </c>
      <c r="S1696">
        <v>6</v>
      </c>
      <c r="T1696" s="13">
        <f t="shared" si="28"/>
        <v>6</v>
      </c>
      <c r="U1696" t="s">
        <v>144</v>
      </c>
    </row>
    <row r="1697" spans="1:22" x14ac:dyDescent="0.3">
      <c r="A1697">
        <v>24</v>
      </c>
      <c r="B1697">
        <v>1</v>
      </c>
      <c r="C1697">
        <v>207749</v>
      </c>
      <c r="D1697" t="s">
        <v>22</v>
      </c>
      <c r="E1697" s="10">
        <v>44100</v>
      </c>
      <c r="F1697" t="s">
        <v>23</v>
      </c>
      <c r="G1697" s="3" t="s">
        <v>73</v>
      </c>
      <c r="H1697" t="s">
        <v>69</v>
      </c>
      <c r="I1697">
        <v>2</v>
      </c>
      <c r="T1697" s="13">
        <f t="shared" si="28"/>
        <v>2</v>
      </c>
      <c r="U1697" t="s">
        <v>144</v>
      </c>
    </row>
    <row r="1698" spans="1:22" x14ac:dyDescent="0.3">
      <c r="A1698">
        <v>24</v>
      </c>
      <c r="B1698">
        <v>1</v>
      </c>
      <c r="C1698">
        <v>207749</v>
      </c>
      <c r="D1698" t="s">
        <v>22</v>
      </c>
      <c r="E1698" s="10">
        <v>44100</v>
      </c>
      <c r="F1698" t="s">
        <v>23</v>
      </c>
      <c r="G1698" s="3" t="s">
        <v>73</v>
      </c>
      <c r="H1698" t="s">
        <v>30</v>
      </c>
      <c r="I1698">
        <v>5</v>
      </c>
      <c r="J1698">
        <v>2</v>
      </c>
      <c r="T1698" s="13">
        <f t="shared" si="28"/>
        <v>7</v>
      </c>
      <c r="U1698" t="s">
        <v>144</v>
      </c>
    </row>
    <row r="1699" spans="1:22" x14ac:dyDescent="0.3">
      <c r="A1699">
        <v>24</v>
      </c>
      <c r="B1699">
        <v>1</v>
      </c>
      <c r="C1699">
        <v>207749</v>
      </c>
      <c r="D1699" t="s">
        <v>22</v>
      </c>
      <c r="E1699" s="10">
        <v>44100</v>
      </c>
      <c r="F1699" t="s">
        <v>23</v>
      </c>
      <c r="G1699" s="3" t="s">
        <v>73</v>
      </c>
      <c r="H1699" t="s">
        <v>98</v>
      </c>
      <c r="Q1699">
        <v>1</v>
      </c>
      <c r="T1699" s="13">
        <f t="shared" si="28"/>
        <v>1</v>
      </c>
      <c r="U1699" t="s">
        <v>144</v>
      </c>
    </row>
    <row r="1700" spans="1:22" x14ac:dyDescent="0.3">
      <c r="A1700">
        <v>24</v>
      </c>
      <c r="B1700">
        <v>1</v>
      </c>
      <c r="C1700">
        <v>207749</v>
      </c>
      <c r="D1700" t="s">
        <v>22</v>
      </c>
      <c r="E1700" s="10">
        <v>44100</v>
      </c>
      <c r="F1700" t="s">
        <v>23</v>
      </c>
      <c r="G1700" s="3" t="s">
        <v>73</v>
      </c>
      <c r="H1700" t="s">
        <v>31</v>
      </c>
      <c r="O1700">
        <v>1</v>
      </c>
      <c r="P1700">
        <v>1</v>
      </c>
      <c r="Q1700">
        <v>3</v>
      </c>
      <c r="R1700">
        <v>1</v>
      </c>
      <c r="T1700" s="13">
        <f t="shared" si="28"/>
        <v>6</v>
      </c>
      <c r="U1700" t="s">
        <v>144</v>
      </c>
    </row>
    <row r="1701" spans="1:22" x14ac:dyDescent="0.3">
      <c r="A1701">
        <v>24</v>
      </c>
      <c r="B1701">
        <v>1</v>
      </c>
      <c r="C1701">
        <v>207749</v>
      </c>
      <c r="D1701" t="s">
        <v>22</v>
      </c>
      <c r="E1701" s="10">
        <v>44100</v>
      </c>
      <c r="F1701" t="s">
        <v>23</v>
      </c>
      <c r="G1701" s="3" t="s">
        <v>73</v>
      </c>
      <c r="H1701" t="s">
        <v>37</v>
      </c>
      <c r="Q1701">
        <v>1</v>
      </c>
      <c r="T1701" s="13">
        <f t="shared" si="28"/>
        <v>1</v>
      </c>
      <c r="U1701" t="s">
        <v>144</v>
      </c>
    </row>
    <row r="1702" spans="1:22" x14ac:dyDescent="0.3">
      <c r="A1702">
        <v>24</v>
      </c>
      <c r="B1702">
        <v>1</v>
      </c>
      <c r="C1702">
        <v>207749</v>
      </c>
      <c r="D1702" t="s">
        <v>22</v>
      </c>
      <c r="E1702" s="10">
        <v>44100</v>
      </c>
      <c r="F1702" t="s">
        <v>23</v>
      </c>
      <c r="G1702" s="3" t="s">
        <v>73</v>
      </c>
      <c r="H1702" t="s">
        <v>38</v>
      </c>
      <c r="Q1702">
        <v>1</v>
      </c>
      <c r="R1702">
        <v>2</v>
      </c>
      <c r="T1702" s="13">
        <f t="shared" si="28"/>
        <v>3</v>
      </c>
      <c r="U1702" t="s">
        <v>144</v>
      </c>
    </row>
    <row r="1703" spans="1:22" x14ac:dyDescent="0.3">
      <c r="A1703">
        <v>24</v>
      </c>
      <c r="B1703">
        <v>1</v>
      </c>
      <c r="C1703">
        <v>207749</v>
      </c>
      <c r="D1703" t="s">
        <v>22</v>
      </c>
      <c r="E1703" s="10">
        <v>44100</v>
      </c>
      <c r="F1703" t="s">
        <v>23</v>
      </c>
      <c r="G1703" s="3" t="s">
        <v>73</v>
      </c>
      <c r="H1703" t="s">
        <v>34</v>
      </c>
      <c r="P1703">
        <v>1</v>
      </c>
      <c r="Q1703">
        <v>2</v>
      </c>
      <c r="R1703">
        <v>5</v>
      </c>
      <c r="T1703" s="13">
        <f t="shared" si="28"/>
        <v>8</v>
      </c>
      <c r="U1703" t="s">
        <v>144</v>
      </c>
    </row>
    <row r="1704" spans="1:22" x14ac:dyDescent="0.3">
      <c r="A1704">
        <v>24</v>
      </c>
      <c r="B1704">
        <v>1</v>
      </c>
      <c r="C1704">
        <v>207749</v>
      </c>
      <c r="D1704" t="s">
        <v>22</v>
      </c>
      <c r="E1704" s="10">
        <v>44100</v>
      </c>
      <c r="F1704" t="s">
        <v>23</v>
      </c>
      <c r="G1704" s="3" t="s">
        <v>73</v>
      </c>
      <c r="H1704" t="s">
        <v>45</v>
      </c>
      <c r="K1704">
        <v>13</v>
      </c>
      <c r="T1704" s="13">
        <f t="shared" si="28"/>
        <v>13</v>
      </c>
      <c r="U1704" t="s">
        <v>144</v>
      </c>
    </row>
    <row r="1705" spans="1:22" x14ac:dyDescent="0.3">
      <c r="A1705">
        <v>24</v>
      </c>
      <c r="B1705">
        <v>1</v>
      </c>
      <c r="C1705">
        <v>207749</v>
      </c>
      <c r="D1705" t="s">
        <v>22</v>
      </c>
      <c r="E1705" s="10">
        <v>44100</v>
      </c>
      <c r="F1705" t="s">
        <v>23</v>
      </c>
      <c r="G1705" s="3" t="s">
        <v>73</v>
      </c>
      <c r="H1705" t="s">
        <v>46</v>
      </c>
      <c r="Q1705">
        <v>18</v>
      </c>
      <c r="R1705">
        <v>2</v>
      </c>
      <c r="T1705" s="13">
        <f t="shared" si="28"/>
        <v>20</v>
      </c>
      <c r="U1705" t="s">
        <v>144</v>
      </c>
    </row>
    <row r="1706" spans="1:22" x14ac:dyDescent="0.3">
      <c r="A1706">
        <v>24</v>
      </c>
      <c r="B1706">
        <v>1</v>
      </c>
      <c r="C1706">
        <v>207749</v>
      </c>
      <c r="D1706" t="s">
        <v>22</v>
      </c>
      <c r="E1706" s="10">
        <v>44100</v>
      </c>
      <c r="F1706" t="s">
        <v>23</v>
      </c>
      <c r="G1706" s="3" t="s">
        <v>73</v>
      </c>
      <c r="H1706" t="s">
        <v>43</v>
      </c>
      <c r="K1706">
        <v>11</v>
      </c>
      <c r="Q1706">
        <v>12</v>
      </c>
      <c r="R1706">
        <v>1</v>
      </c>
      <c r="T1706" s="13">
        <f t="shared" si="28"/>
        <v>24</v>
      </c>
      <c r="U1706" t="s">
        <v>144</v>
      </c>
    </row>
    <row r="1707" spans="1:22" s="5" customFormat="1" ht="16.2" thickBot="1" x14ac:dyDescent="0.35">
      <c r="A1707" s="5">
        <v>24</v>
      </c>
      <c r="B1707" s="5">
        <v>1</v>
      </c>
      <c r="C1707" s="5">
        <v>207749</v>
      </c>
      <c r="D1707" s="5" t="s">
        <v>22</v>
      </c>
      <c r="E1707" s="11">
        <v>44100</v>
      </c>
      <c r="F1707" s="5" t="s">
        <v>23</v>
      </c>
      <c r="G1707" s="6" t="s">
        <v>73</v>
      </c>
      <c r="H1707" s="5" t="s">
        <v>79</v>
      </c>
      <c r="S1707" s="5">
        <v>1</v>
      </c>
      <c r="T1707" s="12">
        <f t="shared" si="28"/>
        <v>1</v>
      </c>
      <c r="U1707" s="5" t="s">
        <v>144</v>
      </c>
      <c r="V1707" s="14"/>
    </row>
    <row r="1708" spans="1:22" x14ac:dyDescent="0.3">
      <c r="A1708">
        <v>24</v>
      </c>
      <c r="B1708">
        <v>2</v>
      </c>
      <c r="C1708">
        <v>207750</v>
      </c>
      <c r="D1708" t="s">
        <v>22</v>
      </c>
      <c r="E1708" s="10">
        <v>44100</v>
      </c>
      <c r="F1708" t="s">
        <v>23</v>
      </c>
      <c r="G1708" s="3" t="s">
        <v>52</v>
      </c>
      <c r="H1708" t="s">
        <v>244</v>
      </c>
      <c r="S1708">
        <v>2</v>
      </c>
      <c r="T1708" s="13">
        <f t="shared" si="28"/>
        <v>2</v>
      </c>
      <c r="U1708" t="s">
        <v>143</v>
      </c>
    </row>
    <row r="1709" spans="1:22" x14ac:dyDescent="0.3">
      <c r="A1709">
        <v>24</v>
      </c>
      <c r="B1709">
        <v>2</v>
      </c>
      <c r="C1709">
        <v>207750</v>
      </c>
      <c r="D1709" t="s">
        <v>22</v>
      </c>
      <c r="E1709" s="10">
        <v>44100</v>
      </c>
      <c r="F1709" t="s">
        <v>23</v>
      </c>
      <c r="G1709" s="3" t="s">
        <v>68</v>
      </c>
      <c r="H1709" t="s">
        <v>25</v>
      </c>
      <c r="N1709">
        <v>5</v>
      </c>
      <c r="O1709">
        <v>20</v>
      </c>
      <c r="P1709">
        <v>37</v>
      </c>
      <c r="Q1709">
        <v>3</v>
      </c>
      <c r="R1709">
        <v>2</v>
      </c>
      <c r="T1709" s="13">
        <f t="shared" si="28"/>
        <v>67</v>
      </c>
      <c r="U1709" t="s">
        <v>144</v>
      </c>
    </row>
    <row r="1710" spans="1:22" x14ac:dyDescent="0.3">
      <c r="A1710">
        <v>24</v>
      </c>
      <c r="B1710">
        <v>2</v>
      </c>
      <c r="C1710">
        <v>207750</v>
      </c>
      <c r="D1710" t="s">
        <v>22</v>
      </c>
      <c r="E1710" s="10">
        <v>44100</v>
      </c>
      <c r="F1710" t="s">
        <v>23</v>
      </c>
      <c r="G1710" s="3" t="s">
        <v>68</v>
      </c>
      <c r="H1710" t="s">
        <v>27</v>
      </c>
      <c r="P1710">
        <v>1</v>
      </c>
      <c r="T1710" s="13">
        <f t="shared" si="28"/>
        <v>1</v>
      </c>
      <c r="U1710" t="s">
        <v>144</v>
      </c>
    </row>
    <row r="1711" spans="1:22" x14ac:dyDescent="0.3">
      <c r="A1711">
        <v>24</v>
      </c>
      <c r="B1711">
        <v>2</v>
      </c>
      <c r="C1711">
        <v>207750</v>
      </c>
      <c r="D1711" t="s">
        <v>22</v>
      </c>
      <c r="E1711" s="10">
        <v>44100</v>
      </c>
      <c r="F1711" t="s">
        <v>23</v>
      </c>
      <c r="G1711" s="3" t="s">
        <v>68</v>
      </c>
      <c r="H1711" t="s">
        <v>186</v>
      </c>
      <c r="O1711">
        <v>1</v>
      </c>
      <c r="T1711" s="13">
        <f t="shared" si="28"/>
        <v>1</v>
      </c>
      <c r="U1711" t="s">
        <v>144</v>
      </c>
    </row>
    <row r="1712" spans="1:22" x14ac:dyDescent="0.3">
      <c r="A1712">
        <v>24</v>
      </c>
      <c r="B1712">
        <v>2</v>
      </c>
      <c r="C1712">
        <v>207750</v>
      </c>
      <c r="D1712" t="s">
        <v>22</v>
      </c>
      <c r="E1712" s="10">
        <v>44100</v>
      </c>
      <c r="F1712" t="s">
        <v>23</v>
      </c>
      <c r="G1712" s="3" t="s">
        <v>48</v>
      </c>
      <c r="H1712" t="s">
        <v>44</v>
      </c>
      <c r="N1712">
        <v>2</v>
      </c>
      <c r="P1712">
        <v>1</v>
      </c>
      <c r="T1712" s="13">
        <f t="shared" si="28"/>
        <v>3</v>
      </c>
      <c r="U1712" t="s">
        <v>144</v>
      </c>
    </row>
    <row r="1713" spans="1:21" x14ac:dyDescent="0.3">
      <c r="A1713">
        <v>24</v>
      </c>
      <c r="B1713">
        <v>2</v>
      </c>
      <c r="C1713">
        <v>207750</v>
      </c>
      <c r="D1713" t="s">
        <v>22</v>
      </c>
      <c r="E1713" s="10">
        <v>44100</v>
      </c>
      <c r="F1713" t="s">
        <v>23</v>
      </c>
      <c r="G1713" s="3" t="s">
        <v>48</v>
      </c>
      <c r="H1713" t="s">
        <v>30</v>
      </c>
      <c r="I1713">
        <v>5</v>
      </c>
      <c r="J1713">
        <v>13</v>
      </c>
      <c r="T1713" s="13">
        <f t="shared" si="28"/>
        <v>18</v>
      </c>
      <c r="U1713" t="s">
        <v>144</v>
      </c>
    </row>
    <row r="1714" spans="1:21" x14ac:dyDescent="0.3">
      <c r="A1714">
        <v>24</v>
      </c>
      <c r="B1714">
        <v>2</v>
      </c>
      <c r="C1714">
        <v>207750</v>
      </c>
      <c r="D1714" t="s">
        <v>22</v>
      </c>
      <c r="E1714" s="10">
        <v>44100</v>
      </c>
      <c r="F1714" t="s">
        <v>23</v>
      </c>
      <c r="G1714" s="3" t="s">
        <v>48</v>
      </c>
      <c r="H1714" t="s">
        <v>142</v>
      </c>
      <c r="S1714">
        <v>4</v>
      </c>
      <c r="T1714" s="13">
        <f t="shared" si="28"/>
        <v>4</v>
      </c>
      <c r="U1714" t="s">
        <v>144</v>
      </c>
    </row>
    <row r="1715" spans="1:21" x14ac:dyDescent="0.3">
      <c r="A1715">
        <v>24</v>
      </c>
      <c r="B1715">
        <v>2</v>
      </c>
      <c r="C1715">
        <v>207750</v>
      </c>
      <c r="D1715" t="s">
        <v>22</v>
      </c>
      <c r="E1715" s="10">
        <v>44100</v>
      </c>
      <c r="F1715" t="s">
        <v>23</v>
      </c>
      <c r="G1715" s="3" t="s">
        <v>48</v>
      </c>
      <c r="H1715" t="s">
        <v>31</v>
      </c>
      <c r="O1715">
        <v>1</v>
      </c>
      <c r="P1715">
        <v>1</v>
      </c>
      <c r="Q1715">
        <v>6</v>
      </c>
      <c r="T1715" s="13">
        <f t="shared" si="28"/>
        <v>8</v>
      </c>
      <c r="U1715" t="s">
        <v>144</v>
      </c>
    </row>
    <row r="1716" spans="1:21" x14ac:dyDescent="0.3">
      <c r="A1716">
        <v>24</v>
      </c>
      <c r="B1716">
        <v>2</v>
      </c>
      <c r="C1716">
        <v>207750</v>
      </c>
      <c r="D1716" t="s">
        <v>22</v>
      </c>
      <c r="E1716" s="10">
        <v>44100</v>
      </c>
      <c r="F1716" t="s">
        <v>23</v>
      </c>
      <c r="G1716" s="3" t="s">
        <v>48</v>
      </c>
      <c r="H1716" t="s">
        <v>37</v>
      </c>
      <c r="O1716">
        <v>4</v>
      </c>
      <c r="P1716">
        <v>10</v>
      </c>
      <c r="Q1716">
        <v>14</v>
      </c>
      <c r="R1716">
        <v>3</v>
      </c>
      <c r="T1716" s="13">
        <f t="shared" si="28"/>
        <v>31</v>
      </c>
      <c r="U1716" t="s">
        <v>144</v>
      </c>
    </row>
    <row r="1717" spans="1:21" x14ac:dyDescent="0.3">
      <c r="A1717">
        <v>24</v>
      </c>
      <c r="B1717">
        <v>2</v>
      </c>
      <c r="C1717">
        <v>207750</v>
      </c>
      <c r="D1717" t="s">
        <v>22</v>
      </c>
      <c r="E1717" s="10">
        <v>44100</v>
      </c>
      <c r="F1717" t="s">
        <v>23</v>
      </c>
      <c r="G1717" s="3" t="s">
        <v>48</v>
      </c>
      <c r="H1717" t="s">
        <v>32</v>
      </c>
      <c r="O1717">
        <v>5</v>
      </c>
      <c r="T1717" s="13">
        <f t="shared" si="28"/>
        <v>5</v>
      </c>
      <c r="U1717" t="s">
        <v>144</v>
      </c>
    </row>
    <row r="1718" spans="1:21" x14ac:dyDescent="0.3">
      <c r="A1718">
        <v>24</v>
      </c>
      <c r="B1718">
        <v>2</v>
      </c>
      <c r="C1718">
        <v>207750</v>
      </c>
      <c r="D1718" t="s">
        <v>22</v>
      </c>
      <c r="E1718" s="10">
        <v>44100</v>
      </c>
      <c r="F1718" t="s">
        <v>23</v>
      </c>
      <c r="G1718" s="3" t="s">
        <v>48</v>
      </c>
      <c r="H1718" t="s">
        <v>66</v>
      </c>
      <c r="O1718">
        <v>1</v>
      </c>
      <c r="T1718" s="13">
        <f t="shared" ref="T1718:T1781" si="29">SUM(I1718:S1718)</f>
        <v>1</v>
      </c>
      <c r="U1718" t="s">
        <v>144</v>
      </c>
    </row>
    <row r="1719" spans="1:21" x14ac:dyDescent="0.3">
      <c r="A1719">
        <v>24</v>
      </c>
      <c r="B1719">
        <v>2</v>
      </c>
      <c r="C1719">
        <v>207750</v>
      </c>
      <c r="D1719" t="s">
        <v>22</v>
      </c>
      <c r="E1719" s="10">
        <v>44100</v>
      </c>
      <c r="F1719" t="s">
        <v>23</v>
      </c>
      <c r="G1719" s="3" t="s">
        <v>48</v>
      </c>
      <c r="H1719" t="s">
        <v>34</v>
      </c>
      <c r="P1719">
        <v>2</v>
      </c>
      <c r="R1719">
        <v>4</v>
      </c>
      <c r="T1719" s="13">
        <f t="shared" si="29"/>
        <v>6</v>
      </c>
      <c r="U1719" t="s">
        <v>144</v>
      </c>
    </row>
    <row r="1720" spans="1:21" x14ac:dyDescent="0.3">
      <c r="A1720">
        <v>24</v>
      </c>
      <c r="B1720">
        <v>2</v>
      </c>
      <c r="C1720">
        <v>207750</v>
      </c>
      <c r="D1720" t="s">
        <v>22</v>
      </c>
      <c r="E1720" s="10">
        <v>44100</v>
      </c>
      <c r="F1720" t="s">
        <v>23</v>
      </c>
      <c r="G1720" s="3" t="s">
        <v>48</v>
      </c>
      <c r="H1720" t="s">
        <v>38</v>
      </c>
      <c r="P1720">
        <v>14</v>
      </c>
      <c r="Q1720">
        <v>23</v>
      </c>
      <c r="R1720">
        <v>27</v>
      </c>
      <c r="T1720" s="13">
        <f t="shared" si="29"/>
        <v>64</v>
      </c>
      <c r="U1720" t="s">
        <v>144</v>
      </c>
    </row>
    <row r="1721" spans="1:21" x14ac:dyDescent="0.3">
      <c r="A1721">
        <v>24</v>
      </c>
      <c r="B1721">
        <v>2</v>
      </c>
      <c r="C1721">
        <v>207750</v>
      </c>
      <c r="D1721" t="s">
        <v>22</v>
      </c>
      <c r="E1721" s="10">
        <v>44100</v>
      </c>
      <c r="F1721" t="s">
        <v>23</v>
      </c>
      <c r="G1721" s="3" t="s">
        <v>48</v>
      </c>
      <c r="H1721" t="s">
        <v>33</v>
      </c>
      <c r="R1721">
        <v>1</v>
      </c>
      <c r="T1721" s="13">
        <f t="shared" si="29"/>
        <v>1</v>
      </c>
      <c r="U1721" t="s">
        <v>144</v>
      </c>
    </row>
    <row r="1722" spans="1:21" x14ac:dyDescent="0.3">
      <c r="A1722">
        <v>24</v>
      </c>
      <c r="B1722">
        <v>2</v>
      </c>
      <c r="C1722">
        <v>207750</v>
      </c>
      <c r="D1722" t="s">
        <v>22</v>
      </c>
      <c r="E1722" s="10">
        <v>44100</v>
      </c>
      <c r="F1722" t="s">
        <v>23</v>
      </c>
      <c r="G1722" s="3" t="s">
        <v>48</v>
      </c>
      <c r="H1722" t="s">
        <v>41</v>
      </c>
      <c r="S1722">
        <v>7</v>
      </c>
      <c r="T1722" s="13">
        <f t="shared" si="29"/>
        <v>7</v>
      </c>
      <c r="U1722" t="s">
        <v>144</v>
      </c>
    </row>
    <row r="1723" spans="1:21" x14ac:dyDescent="0.3">
      <c r="A1723">
        <v>24</v>
      </c>
      <c r="B1723">
        <v>2</v>
      </c>
      <c r="C1723">
        <v>207750</v>
      </c>
      <c r="D1723" t="s">
        <v>22</v>
      </c>
      <c r="E1723" s="10">
        <v>44100</v>
      </c>
      <c r="F1723" t="s">
        <v>23</v>
      </c>
      <c r="G1723" s="3" t="s">
        <v>48</v>
      </c>
      <c r="H1723" t="s">
        <v>49</v>
      </c>
      <c r="S1723">
        <v>2</v>
      </c>
      <c r="T1723" s="13">
        <f t="shared" si="29"/>
        <v>2</v>
      </c>
      <c r="U1723" t="s">
        <v>144</v>
      </c>
    </row>
    <row r="1724" spans="1:21" x14ac:dyDescent="0.3">
      <c r="A1724">
        <v>24</v>
      </c>
      <c r="B1724">
        <v>2</v>
      </c>
      <c r="C1724">
        <v>207750</v>
      </c>
      <c r="D1724" t="s">
        <v>22</v>
      </c>
      <c r="E1724" s="10">
        <v>44100</v>
      </c>
      <c r="F1724" t="s">
        <v>23</v>
      </c>
      <c r="G1724" s="3" t="s">
        <v>48</v>
      </c>
      <c r="H1724" t="s">
        <v>42</v>
      </c>
      <c r="S1724">
        <v>1</v>
      </c>
      <c r="T1724" s="13">
        <f t="shared" si="29"/>
        <v>1</v>
      </c>
      <c r="U1724" t="s">
        <v>144</v>
      </c>
    </row>
    <row r="1725" spans="1:21" x14ac:dyDescent="0.3">
      <c r="A1725">
        <v>24</v>
      </c>
      <c r="B1725">
        <v>2</v>
      </c>
      <c r="C1725">
        <v>207750</v>
      </c>
      <c r="D1725" t="s">
        <v>22</v>
      </c>
      <c r="E1725" s="10">
        <v>44100</v>
      </c>
      <c r="F1725" t="s">
        <v>23</v>
      </c>
      <c r="G1725" s="3" t="s">
        <v>48</v>
      </c>
      <c r="H1725" t="s">
        <v>50</v>
      </c>
      <c r="S1725">
        <v>1</v>
      </c>
      <c r="T1725" s="13">
        <f t="shared" si="29"/>
        <v>1</v>
      </c>
      <c r="U1725" t="s">
        <v>144</v>
      </c>
    </row>
    <row r="1726" spans="1:21" x14ac:dyDescent="0.3">
      <c r="A1726">
        <v>24</v>
      </c>
      <c r="B1726">
        <v>2</v>
      </c>
      <c r="C1726">
        <v>207750</v>
      </c>
      <c r="D1726" t="s">
        <v>22</v>
      </c>
      <c r="E1726" s="10">
        <v>44100</v>
      </c>
      <c r="F1726" t="s">
        <v>23</v>
      </c>
      <c r="G1726" s="3" t="s">
        <v>48</v>
      </c>
      <c r="H1726" t="s">
        <v>56</v>
      </c>
      <c r="S1726">
        <v>2</v>
      </c>
      <c r="T1726" s="13">
        <f t="shared" si="29"/>
        <v>2</v>
      </c>
      <c r="U1726" t="s">
        <v>144</v>
      </c>
    </row>
    <row r="1727" spans="1:21" x14ac:dyDescent="0.3">
      <c r="A1727">
        <v>24</v>
      </c>
      <c r="B1727">
        <v>2</v>
      </c>
      <c r="C1727">
        <v>207750</v>
      </c>
      <c r="D1727" t="s">
        <v>22</v>
      </c>
      <c r="E1727" s="10">
        <v>44100</v>
      </c>
      <c r="F1727" t="s">
        <v>23</v>
      </c>
      <c r="G1727" s="3" t="s">
        <v>48</v>
      </c>
      <c r="H1727" t="s">
        <v>46</v>
      </c>
      <c r="Q1727">
        <v>15</v>
      </c>
      <c r="T1727" s="13">
        <f t="shared" si="29"/>
        <v>15</v>
      </c>
      <c r="U1727" t="s">
        <v>144</v>
      </c>
    </row>
    <row r="1728" spans="1:21" x14ac:dyDescent="0.3">
      <c r="A1728">
        <v>24</v>
      </c>
      <c r="B1728">
        <v>2</v>
      </c>
      <c r="C1728">
        <v>207750</v>
      </c>
      <c r="D1728" t="s">
        <v>22</v>
      </c>
      <c r="E1728" s="10">
        <v>44100</v>
      </c>
      <c r="F1728" t="s">
        <v>23</v>
      </c>
      <c r="G1728" s="3" t="s">
        <v>48</v>
      </c>
      <c r="H1728" t="s">
        <v>45</v>
      </c>
      <c r="K1728">
        <v>6</v>
      </c>
      <c r="T1728" s="13">
        <f t="shared" si="29"/>
        <v>6</v>
      </c>
      <c r="U1728" t="s">
        <v>144</v>
      </c>
    </row>
    <row r="1729" spans="1:22" s="5" customFormat="1" ht="16.2" thickBot="1" x14ac:dyDescent="0.35">
      <c r="A1729" s="5">
        <v>24</v>
      </c>
      <c r="B1729" s="5">
        <v>2</v>
      </c>
      <c r="C1729" s="5">
        <v>207750</v>
      </c>
      <c r="D1729" s="5" t="s">
        <v>22</v>
      </c>
      <c r="E1729" s="11">
        <v>44100</v>
      </c>
      <c r="F1729" s="5" t="s">
        <v>23</v>
      </c>
      <c r="G1729" s="6" t="s">
        <v>48</v>
      </c>
      <c r="H1729" s="5" t="s">
        <v>43</v>
      </c>
      <c r="I1729" s="5">
        <v>1</v>
      </c>
      <c r="K1729" s="5">
        <v>5</v>
      </c>
      <c r="Q1729" s="5">
        <v>6</v>
      </c>
      <c r="R1729" s="5">
        <v>1</v>
      </c>
      <c r="T1729" s="12">
        <f t="shared" si="29"/>
        <v>13</v>
      </c>
      <c r="U1729" s="5" t="s">
        <v>144</v>
      </c>
      <c r="V1729" s="14"/>
    </row>
    <row r="1730" spans="1:22" ht="46.8" x14ac:dyDescent="0.3">
      <c r="A1730">
        <v>24</v>
      </c>
      <c r="B1730">
        <v>3</v>
      </c>
      <c r="C1730">
        <v>207751</v>
      </c>
      <c r="D1730" t="s">
        <v>22</v>
      </c>
      <c r="E1730" s="10">
        <v>44100</v>
      </c>
      <c r="F1730" t="s">
        <v>23</v>
      </c>
      <c r="G1730" s="3" t="s">
        <v>187</v>
      </c>
      <c r="H1730" t="s">
        <v>25</v>
      </c>
      <c r="N1730">
        <v>4</v>
      </c>
      <c r="T1730" s="13">
        <f t="shared" si="29"/>
        <v>4</v>
      </c>
      <c r="U1730" t="s">
        <v>144</v>
      </c>
      <c r="V1730" s="15" t="s">
        <v>188</v>
      </c>
    </row>
    <row r="1731" spans="1:22" x14ac:dyDescent="0.3">
      <c r="A1731">
        <v>24</v>
      </c>
      <c r="B1731">
        <v>3</v>
      </c>
      <c r="C1731">
        <v>207751</v>
      </c>
      <c r="D1731" t="s">
        <v>22</v>
      </c>
      <c r="E1731" s="10">
        <v>44100</v>
      </c>
      <c r="F1731" t="s">
        <v>23</v>
      </c>
      <c r="G1731" s="3" t="s">
        <v>187</v>
      </c>
      <c r="H1731" t="s">
        <v>98</v>
      </c>
      <c r="Q1731">
        <v>2</v>
      </c>
      <c r="R1731">
        <v>1</v>
      </c>
      <c r="T1731" s="13">
        <f t="shared" si="29"/>
        <v>3</v>
      </c>
      <c r="U1731" t="s">
        <v>144</v>
      </c>
    </row>
    <row r="1732" spans="1:22" x14ac:dyDescent="0.3">
      <c r="A1732">
        <v>24</v>
      </c>
      <c r="B1732">
        <v>3</v>
      </c>
      <c r="C1732">
        <v>207751</v>
      </c>
      <c r="D1732" t="s">
        <v>22</v>
      </c>
      <c r="E1732" s="10">
        <v>44100</v>
      </c>
      <c r="F1732" t="s">
        <v>23</v>
      </c>
      <c r="G1732" s="3" t="s">
        <v>187</v>
      </c>
      <c r="H1732" t="s">
        <v>142</v>
      </c>
      <c r="S1732">
        <v>1</v>
      </c>
      <c r="T1732" s="13">
        <f t="shared" si="29"/>
        <v>1</v>
      </c>
      <c r="U1732" t="s">
        <v>144</v>
      </c>
    </row>
    <row r="1733" spans="1:22" x14ac:dyDescent="0.3">
      <c r="A1733">
        <v>24</v>
      </c>
      <c r="B1733">
        <v>3</v>
      </c>
      <c r="C1733">
        <v>207751</v>
      </c>
      <c r="D1733" t="s">
        <v>22</v>
      </c>
      <c r="E1733" s="10">
        <v>44100</v>
      </c>
      <c r="F1733" t="s">
        <v>23</v>
      </c>
      <c r="G1733" s="3" t="s">
        <v>187</v>
      </c>
      <c r="H1733" t="s">
        <v>30</v>
      </c>
      <c r="I1733">
        <v>3</v>
      </c>
      <c r="T1733" s="13">
        <f t="shared" si="29"/>
        <v>3</v>
      </c>
      <c r="U1733" t="s">
        <v>144</v>
      </c>
    </row>
    <row r="1734" spans="1:22" x14ac:dyDescent="0.3">
      <c r="A1734">
        <v>24</v>
      </c>
      <c r="B1734">
        <v>3</v>
      </c>
      <c r="C1734">
        <v>207751</v>
      </c>
      <c r="D1734" t="s">
        <v>22</v>
      </c>
      <c r="E1734" s="10">
        <v>44100</v>
      </c>
      <c r="F1734" t="s">
        <v>23</v>
      </c>
      <c r="G1734" s="3" t="s">
        <v>187</v>
      </c>
      <c r="H1734" t="s">
        <v>33</v>
      </c>
      <c r="Q1734">
        <v>2</v>
      </c>
      <c r="R1734">
        <v>2</v>
      </c>
      <c r="T1734" s="13">
        <f t="shared" si="29"/>
        <v>4</v>
      </c>
      <c r="U1734" t="s">
        <v>144</v>
      </c>
    </row>
    <row r="1735" spans="1:22" x14ac:dyDescent="0.3">
      <c r="A1735">
        <v>24</v>
      </c>
      <c r="B1735">
        <v>3</v>
      </c>
      <c r="C1735">
        <v>207751</v>
      </c>
      <c r="D1735" t="s">
        <v>22</v>
      </c>
      <c r="E1735" s="10">
        <v>44100</v>
      </c>
      <c r="F1735" t="s">
        <v>23</v>
      </c>
      <c r="G1735" s="3" t="s">
        <v>187</v>
      </c>
      <c r="H1735" t="s">
        <v>38</v>
      </c>
      <c r="Q1735">
        <v>22</v>
      </c>
      <c r="R1735">
        <v>10</v>
      </c>
      <c r="T1735" s="13">
        <f t="shared" si="29"/>
        <v>32</v>
      </c>
      <c r="U1735" t="s">
        <v>144</v>
      </c>
    </row>
    <row r="1736" spans="1:22" x14ac:dyDescent="0.3">
      <c r="A1736">
        <v>24</v>
      </c>
      <c r="B1736">
        <v>3</v>
      </c>
      <c r="C1736">
        <v>207751</v>
      </c>
      <c r="D1736" t="s">
        <v>22</v>
      </c>
      <c r="E1736" s="10">
        <v>44100</v>
      </c>
      <c r="F1736" t="s">
        <v>23</v>
      </c>
      <c r="G1736" s="3" t="s">
        <v>187</v>
      </c>
      <c r="H1736" t="s">
        <v>31</v>
      </c>
      <c r="O1736">
        <v>3</v>
      </c>
      <c r="P1736">
        <v>4</v>
      </c>
      <c r="Q1736">
        <v>10</v>
      </c>
      <c r="R1736">
        <v>3</v>
      </c>
      <c r="T1736" s="13">
        <f t="shared" si="29"/>
        <v>20</v>
      </c>
      <c r="U1736" t="s">
        <v>144</v>
      </c>
    </row>
    <row r="1737" spans="1:22" x14ac:dyDescent="0.3">
      <c r="A1737">
        <v>24</v>
      </c>
      <c r="B1737">
        <v>3</v>
      </c>
      <c r="C1737">
        <v>207751</v>
      </c>
      <c r="D1737" t="s">
        <v>22</v>
      </c>
      <c r="E1737" s="10">
        <v>44100</v>
      </c>
      <c r="F1737" t="s">
        <v>23</v>
      </c>
      <c r="G1737" s="3" t="s">
        <v>187</v>
      </c>
      <c r="H1737" t="s">
        <v>37</v>
      </c>
      <c r="O1737">
        <v>2</v>
      </c>
      <c r="P1737">
        <v>9</v>
      </c>
      <c r="Q1737">
        <v>55</v>
      </c>
      <c r="R1737">
        <v>11</v>
      </c>
      <c r="T1737" s="13">
        <f t="shared" si="29"/>
        <v>77</v>
      </c>
      <c r="U1737" t="s">
        <v>144</v>
      </c>
    </row>
    <row r="1738" spans="1:22" x14ac:dyDescent="0.3">
      <c r="A1738">
        <v>24</v>
      </c>
      <c r="B1738">
        <v>3</v>
      </c>
      <c r="C1738">
        <v>207751</v>
      </c>
      <c r="D1738" t="s">
        <v>22</v>
      </c>
      <c r="E1738" s="10">
        <v>44100</v>
      </c>
      <c r="F1738" t="s">
        <v>23</v>
      </c>
      <c r="G1738" s="3" t="s">
        <v>187</v>
      </c>
      <c r="H1738" t="s">
        <v>71</v>
      </c>
      <c r="R1738">
        <v>1</v>
      </c>
      <c r="T1738" s="13">
        <f t="shared" si="29"/>
        <v>1</v>
      </c>
      <c r="U1738" t="s">
        <v>144</v>
      </c>
    </row>
    <row r="1739" spans="1:22" x14ac:dyDescent="0.3">
      <c r="A1739">
        <v>24</v>
      </c>
      <c r="B1739">
        <v>3</v>
      </c>
      <c r="C1739">
        <v>207751</v>
      </c>
      <c r="D1739" t="s">
        <v>22</v>
      </c>
      <c r="E1739" s="10">
        <v>44100</v>
      </c>
      <c r="F1739" t="s">
        <v>23</v>
      </c>
      <c r="G1739" s="3" t="s">
        <v>187</v>
      </c>
      <c r="H1739" t="s">
        <v>32</v>
      </c>
      <c r="O1739">
        <v>2</v>
      </c>
      <c r="T1739" s="13">
        <f t="shared" si="29"/>
        <v>2</v>
      </c>
      <c r="U1739" t="s">
        <v>144</v>
      </c>
    </row>
    <row r="1740" spans="1:22" x14ac:dyDescent="0.3">
      <c r="A1740">
        <v>24</v>
      </c>
      <c r="B1740">
        <v>3</v>
      </c>
      <c r="C1740">
        <v>207751</v>
      </c>
      <c r="D1740" t="s">
        <v>22</v>
      </c>
      <c r="E1740" s="10">
        <v>44100</v>
      </c>
      <c r="F1740" t="s">
        <v>23</v>
      </c>
      <c r="G1740" s="3" t="s">
        <v>187</v>
      </c>
      <c r="H1740" t="s">
        <v>50</v>
      </c>
      <c r="S1740">
        <v>1</v>
      </c>
      <c r="T1740" s="13">
        <f t="shared" si="29"/>
        <v>1</v>
      </c>
      <c r="U1740" t="s">
        <v>144</v>
      </c>
    </row>
    <row r="1741" spans="1:22" x14ac:dyDescent="0.3">
      <c r="A1741">
        <v>24</v>
      </c>
      <c r="B1741">
        <v>3</v>
      </c>
      <c r="C1741">
        <v>207751</v>
      </c>
      <c r="D1741" t="s">
        <v>22</v>
      </c>
      <c r="E1741" s="10">
        <v>44100</v>
      </c>
      <c r="F1741" t="s">
        <v>23</v>
      </c>
      <c r="G1741" s="3" t="s">
        <v>187</v>
      </c>
      <c r="H1741" t="s">
        <v>42</v>
      </c>
      <c r="S1741">
        <v>1</v>
      </c>
      <c r="T1741" s="13">
        <f t="shared" si="29"/>
        <v>1</v>
      </c>
      <c r="U1741" t="s">
        <v>144</v>
      </c>
    </row>
    <row r="1742" spans="1:22" x14ac:dyDescent="0.3">
      <c r="A1742">
        <v>24</v>
      </c>
      <c r="B1742">
        <v>3</v>
      </c>
      <c r="C1742">
        <v>207751</v>
      </c>
      <c r="D1742" t="s">
        <v>22</v>
      </c>
      <c r="E1742" s="10">
        <v>44100</v>
      </c>
      <c r="F1742" t="s">
        <v>23</v>
      </c>
      <c r="G1742" s="3" t="s">
        <v>187</v>
      </c>
      <c r="H1742" t="s">
        <v>41</v>
      </c>
      <c r="S1742">
        <v>5</v>
      </c>
      <c r="T1742" s="13">
        <f t="shared" si="29"/>
        <v>5</v>
      </c>
      <c r="U1742" t="s">
        <v>144</v>
      </c>
    </row>
    <row r="1743" spans="1:22" x14ac:dyDescent="0.3">
      <c r="A1743">
        <v>24</v>
      </c>
      <c r="B1743">
        <v>3</v>
      </c>
      <c r="C1743">
        <v>207751</v>
      </c>
      <c r="D1743" t="s">
        <v>22</v>
      </c>
      <c r="E1743" s="10">
        <v>44100</v>
      </c>
      <c r="F1743" t="s">
        <v>23</v>
      </c>
      <c r="G1743" s="3" t="s">
        <v>187</v>
      </c>
      <c r="H1743" t="s">
        <v>49</v>
      </c>
      <c r="S1743">
        <v>2</v>
      </c>
      <c r="T1743" s="13">
        <f t="shared" si="29"/>
        <v>2</v>
      </c>
      <c r="U1743" t="s">
        <v>144</v>
      </c>
    </row>
    <row r="1744" spans="1:22" x14ac:dyDescent="0.3">
      <c r="A1744">
        <v>24</v>
      </c>
      <c r="B1744">
        <v>3</v>
      </c>
      <c r="C1744">
        <v>207751</v>
      </c>
      <c r="D1744" t="s">
        <v>22</v>
      </c>
      <c r="E1744" s="10">
        <v>44100</v>
      </c>
      <c r="F1744" t="s">
        <v>23</v>
      </c>
      <c r="G1744" s="3" t="s">
        <v>187</v>
      </c>
      <c r="H1744" t="s">
        <v>56</v>
      </c>
      <c r="S1744">
        <v>1</v>
      </c>
      <c r="T1744" s="13">
        <f t="shared" si="29"/>
        <v>1</v>
      </c>
      <c r="U1744" t="s">
        <v>144</v>
      </c>
    </row>
    <row r="1745" spans="1:22" x14ac:dyDescent="0.3">
      <c r="A1745">
        <v>24</v>
      </c>
      <c r="B1745">
        <v>3</v>
      </c>
      <c r="C1745">
        <v>207751</v>
      </c>
      <c r="D1745" t="s">
        <v>22</v>
      </c>
      <c r="E1745" s="10">
        <v>44100</v>
      </c>
      <c r="F1745" t="s">
        <v>23</v>
      </c>
      <c r="G1745" s="3" t="s">
        <v>187</v>
      </c>
      <c r="H1745" t="s">
        <v>67</v>
      </c>
      <c r="N1745">
        <v>1</v>
      </c>
      <c r="T1745" s="13">
        <f t="shared" si="29"/>
        <v>1</v>
      </c>
      <c r="U1745" t="s">
        <v>144</v>
      </c>
    </row>
    <row r="1746" spans="1:22" x14ac:dyDescent="0.3">
      <c r="A1746">
        <v>24</v>
      </c>
      <c r="B1746">
        <v>3</v>
      </c>
      <c r="C1746">
        <v>207751</v>
      </c>
      <c r="D1746" t="s">
        <v>22</v>
      </c>
      <c r="E1746" s="10">
        <v>44100</v>
      </c>
      <c r="F1746" t="s">
        <v>23</v>
      </c>
      <c r="G1746" s="3" t="s">
        <v>187</v>
      </c>
      <c r="H1746" t="s">
        <v>46</v>
      </c>
      <c r="Q1746">
        <v>34</v>
      </c>
      <c r="T1746" s="13">
        <f t="shared" si="29"/>
        <v>34</v>
      </c>
      <c r="U1746" t="s">
        <v>144</v>
      </c>
    </row>
    <row r="1747" spans="1:22" x14ac:dyDescent="0.3">
      <c r="A1747">
        <v>24</v>
      </c>
      <c r="B1747">
        <v>3</v>
      </c>
      <c r="C1747">
        <v>207751</v>
      </c>
      <c r="D1747" t="s">
        <v>22</v>
      </c>
      <c r="E1747" s="10">
        <v>44100</v>
      </c>
      <c r="F1747" t="s">
        <v>23</v>
      </c>
      <c r="G1747" s="3" t="s">
        <v>187</v>
      </c>
      <c r="H1747" t="s">
        <v>74</v>
      </c>
      <c r="Q1747">
        <v>1</v>
      </c>
      <c r="T1747" s="13">
        <f t="shared" si="29"/>
        <v>1</v>
      </c>
      <c r="U1747" t="s">
        <v>144</v>
      </c>
    </row>
    <row r="1748" spans="1:22" x14ac:dyDescent="0.3">
      <c r="A1748">
        <v>24</v>
      </c>
      <c r="B1748">
        <v>3</v>
      </c>
      <c r="C1748">
        <v>207751</v>
      </c>
      <c r="D1748" t="s">
        <v>22</v>
      </c>
      <c r="E1748" s="10">
        <v>44100</v>
      </c>
      <c r="F1748" t="s">
        <v>23</v>
      </c>
      <c r="G1748" s="3" t="s">
        <v>187</v>
      </c>
      <c r="H1748" t="s">
        <v>45</v>
      </c>
      <c r="K1748">
        <v>6</v>
      </c>
      <c r="T1748" s="13">
        <f t="shared" si="29"/>
        <v>6</v>
      </c>
      <c r="U1748" t="s">
        <v>144</v>
      </c>
    </row>
    <row r="1749" spans="1:22" x14ac:dyDescent="0.3">
      <c r="A1749">
        <v>24</v>
      </c>
      <c r="B1749">
        <v>3</v>
      </c>
      <c r="C1749">
        <v>207751</v>
      </c>
      <c r="D1749" t="s">
        <v>22</v>
      </c>
      <c r="E1749" s="10">
        <v>44100</v>
      </c>
      <c r="F1749" t="s">
        <v>23</v>
      </c>
      <c r="G1749" s="3" t="s">
        <v>187</v>
      </c>
      <c r="H1749" t="s">
        <v>43</v>
      </c>
      <c r="K1749">
        <v>2</v>
      </c>
      <c r="Q1749">
        <v>9</v>
      </c>
      <c r="T1749" s="13">
        <f t="shared" si="29"/>
        <v>11</v>
      </c>
      <c r="U1749" t="s">
        <v>144</v>
      </c>
    </row>
    <row r="1750" spans="1:22" x14ac:dyDescent="0.3">
      <c r="A1750">
        <v>24</v>
      </c>
      <c r="B1750">
        <v>3</v>
      </c>
      <c r="C1750">
        <v>207751</v>
      </c>
      <c r="D1750" t="s">
        <v>22</v>
      </c>
      <c r="E1750" s="10">
        <v>44100</v>
      </c>
      <c r="F1750" t="s">
        <v>23</v>
      </c>
      <c r="G1750" s="3" t="s">
        <v>187</v>
      </c>
      <c r="H1750" t="s">
        <v>44</v>
      </c>
      <c r="O1750">
        <v>2</v>
      </c>
      <c r="T1750" s="13">
        <f t="shared" si="29"/>
        <v>2</v>
      </c>
      <c r="U1750" t="s">
        <v>144</v>
      </c>
    </row>
    <row r="1751" spans="1:22" s="5" customFormat="1" ht="16.2" thickBot="1" x14ac:dyDescent="0.35">
      <c r="A1751" s="5">
        <v>24</v>
      </c>
      <c r="B1751" s="5">
        <v>3</v>
      </c>
      <c r="C1751" s="5">
        <v>207751</v>
      </c>
      <c r="D1751" s="5" t="s">
        <v>22</v>
      </c>
      <c r="E1751" s="11">
        <v>44100</v>
      </c>
      <c r="F1751" s="5" t="s">
        <v>23</v>
      </c>
      <c r="G1751" s="6" t="s">
        <v>187</v>
      </c>
      <c r="H1751" s="5" t="s">
        <v>34</v>
      </c>
      <c r="O1751" s="5">
        <v>1</v>
      </c>
      <c r="T1751" s="12">
        <f t="shared" si="29"/>
        <v>1</v>
      </c>
      <c r="U1751" s="5" t="s">
        <v>144</v>
      </c>
      <c r="V1751" s="14"/>
    </row>
    <row r="1752" spans="1:22" ht="31.2" x14ac:dyDescent="0.3">
      <c r="A1752">
        <v>24</v>
      </c>
      <c r="B1752">
        <v>4</v>
      </c>
      <c r="C1752">
        <v>207752</v>
      </c>
      <c r="D1752" t="s">
        <v>22</v>
      </c>
      <c r="E1752" s="10">
        <v>44100</v>
      </c>
      <c r="F1752" t="s">
        <v>23</v>
      </c>
      <c r="G1752" s="3" t="s">
        <v>73</v>
      </c>
      <c r="H1752" t="s">
        <v>44</v>
      </c>
      <c r="O1752">
        <v>1</v>
      </c>
      <c r="T1752" s="13">
        <f t="shared" si="29"/>
        <v>1</v>
      </c>
      <c r="U1752" t="s">
        <v>144</v>
      </c>
      <c r="V1752" s="15" t="s">
        <v>189</v>
      </c>
    </row>
    <row r="1753" spans="1:22" x14ac:dyDescent="0.3">
      <c r="A1753">
        <v>24</v>
      </c>
      <c r="B1753">
        <v>4</v>
      </c>
      <c r="C1753">
        <v>207752</v>
      </c>
      <c r="D1753" t="s">
        <v>22</v>
      </c>
      <c r="E1753" s="10">
        <v>44100</v>
      </c>
      <c r="F1753" t="s">
        <v>23</v>
      </c>
      <c r="G1753" s="3" t="s">
        <v>73</v>
      </c>
      <c r="H1753" t="s">
        <v>33</v>
      </c>
      <c r="M1753">
        <v>1</v>
      </c>
      <c r="R1753">
        <v>4</v>
      </c>
      <c r="T1753" s="13">
        <f t="shared" si="29"/>
        <v>5</v>
      </c>
      <c r="U1753" t="s">
        <v>144</v>
      </c>
    </row>
    <row r="1754" spans="1:22" x14ac:dyDescent="0.3">
      <c r="A1754">
        <v>24</v>
      </c>
      <c r="B1754">
        <v>4</v>
      </c>
      <c r="C1754">
        <v>207752</v>
      </c>
      <c r="D1754" t="s">
        <v>22</v>
      </c>
      <c r="E1754" s="10">
        <v>44100</v>
      </c>
      <c r="F1754" t="s">
        <v>23</v>
      </c>
      <c r="G1754" s="3" t="s">
        <v>73</v>
      </c>
      <c r="H1754" t="s">
        <v>30</v>
      </c>
      <c r="I1754">
        <v>2</v>
      </c>
      <c r="J1754">
        <v>18</v>
      </c>
      <c r="T1754" s="13">
        <f t="shared" si="29"/>
        <v>20</v>
      </c>
      <c r="U1754" t="s">
        <v>144</v>
      </c>
    </row>
    <row r="1755" spans="1:22" x14ac:dyDescent="0.3">
      <c r="A1755">
        <v>24</v>
      </c>
      <c r="B1755">
        <v>4</v>
      </c>
      <c r="C1755">
        <v>207752</v>
      </c>
      <c r="D1755" t="s">
        <v>22</v>
      </c>
      <c r="E1755" s="10">
        <v>44100</v>
      </c>
      <c r="F1755" t="s">
        <v>23</v>
      </c>
      <c r="G1755" s="3" t="s">
        <v>73</v>
      </c>
      <c r="H1755" t="s">
        <v>31</v>
      </c>
      <c r="O1755">
        <v>3</v>
      </c>
      <c r="P1755">
        <v>5</v>
      </c>
      <c r="Q1755">
        <v>6</v>
      </c>
      <c r="T1755" s="13">
        <f t="shared" si="29"/>
        <v>14</v>
      </c>
      <c r="U1755" t="s">
        <v>144</v>
      </c>
    </row>
    <row r="1756" spans="1:22" x14ac:dyDescent="0.3">
      <c r="A1756">
        <v>24</v>
      </c>
      <c r="B1756">
        <v>4</v>
      </c>
      <c r="C1756">
        <v>207752</v>
      </c>
      <c r="D1756" t="s">
        <v>22</v>
      </c>
      <c r="E1756" s="10">
        <v>44100</v>
      </c>
      <c r="F1756" t="s">
        <v>23</v>
      </c>
      <c r="G1756" s="3" t="s">
        <v>73</v>
      </c>
      <c r="H1756" t="s">
        <v>69</v>
      </c>
      <c r="O1756">
        <v>13</v>
      </c>
      <c r="T1756" s="13">
        <f t="shared" si="29"/>
        <v>13</v>
      </c>
      <c r="U1756" t="s">
        <v>144</v>
      </c>
    </row>
    <row r="1757" spans="1:22" x14ac:dyDescent="0.3">
      <c r="A1757">
        <v>24</v>
      </c>
      <c r="B1757">
        <v>4</v>
      </c>
      <c r="C1757">
        <v>207752</v>
      </c>
      <c r="D1757" t="s">
        <v>22</v>
      </c>
      <c r="E1757" s="10">
        <v>44100</v>
      </c>
      <c r="F1757" t="s">
        <v>23</v>
      </c>
      <c r="G1757" s="3" t="s">
        <v>73</v>
      </c>
      <c r="H1757" t="s">
        <v>37</v>
      </c>
      <c r="P1757">
        <v>11</v>
      </c>
      <c r="Q1757">
        <v>28</v>
      </c>
      <c r="R1757">
        <v>10</v>
      </c>
      <c r="T1757" s="13">
        <f t="shared" si="29"/>
        <v>49</v>
      </c>
      <c r="U1757" t="s">
        <v>144</v>
      </c>
    </row>
    <row r="1758" spans="1:22" x14ac:dyDescent="0.3">
      <c r="A1758">
        <v>24</v>
      </c>
      <c r="B1758">
        <v>4</v>
      </c>
      <c r="C1758">
        <v>207752</v>
      </c>
      <c r="D1758" t="s">
        <v>22</v>
      </c>
      <c r="E1758" s="10">
        <v>44100</v>
      </c>
      <c r="F1758" t="s">
        <v>23</v>
      </c>
      <c r="G1758" s="3" t="s">
        <v>73</v>
      </c>
      <c r="H1758" t="s">
        <v>38</v>
      </c>
      <c r="P1758">
        <v>20</v>
      </c>
      <c r="Q1758">
        <v>14</v>
      </c>
      <c r="R1758">
        <v>7</v>
      </c>
      <c r="T1758" s="13">
        <f t="shared" si="29"/>
        <v>41</v>
      </c>
      <c r="U1758" t="s">
        <v>144</v>
      </c>
    </row>
    <row r="1759" spans="1:22" x14ac:dyDescent="0.3">
      <c r="A1759">
        <v>24</v>
      </c>
      <c r="B1759">
        <v>4</v>
      </c>
      <c r="C1759">
        <v>207752</v>
      </c>
      <c r="D1759" t="s">
        <v>22</v>
      </c>
      <c r="E1759" s="10">
        <v>44100</v>
      </c>
      <c r="F1759" t="s">
        <v>23</v>
      </c>
      <c r="G1759" s="3" t="s">
        <v>73</v>
      </c>
      <c r="H1759" t="s">
        <v>98</v>
      </c>
      <c r="Q1759">
        <v>1</v>
      </c>
      <c r="R1759">
        <v>1</v>
      </c>
      <c r="T1759" s="13">
        <f t="shared" si="29"/>
        <v>2</v>
      </c>
      <c r="U1759" t="s">
        <v>144</v>
      </c>
    </row>
    <row r="1760" spans="1:22" x14ac:dyDescent="0.3">
      <c r="A1760">
        <v>24</v>
      </c>
      <c r="B1760">
        <v>4</v>
      </c>
      <c r="C1760">
        <v>207752</v>
      </c>
      <c r="D1760" t="s">
        <v>22</v>
      </c>
      <c r="E1760" s="10">
        <v>44100</v>
      </c>
      <c r="F1760" t="s">
        <v>23</v>
      </c>
      <c r="G1760" s="3" t="s">
        <v>73</v>
      </c>
      <c r="H1760" t="s">
        <v>46</v>
      </c>
      <c r="Q1760">
        <v>35</v>
      </c>
      <c r="R1760">
        <v>2</v>
      </c>
      <c r="T1760" s="13">
        <f t="shared" si="29"/>
        <v>37</v>
      </c>
      <c r="U1760" t="s">
        <v>144</v>
      </c>
    </row>
    <row r="1761" spans="1:22" x14ac:dyDescent="0.3">
      <c r="A1761">
        <v>24</v>
      </c>
      <c r="B1761">
        <v>4</v>
      </c>
      <c r="C1761">
        <v>207752</v>
      </c>
      <c r="D1761" t="s">
        <v>22</v>
      </c>
      <c r="E1761" s="10">
        <v>44100</v>
      </c>
      <c r="F1761" t="s">
        <v>23</v>
      </c>
      <c r="G1761" s="3" t="s">
        <v>73</v>
      </c>
      <c r="H1761" t="s">
        <v>45</v>
      </c>
      <c r="I1761">
        <v>1</v>
      </c>
      <c r="K1761">
        <v>15</v>
      </c>
      <c r="T1761" s="13">
        <f t="shared" si="29"/>
        <v>16</v>
      </c>
      <c r="U1761" t="s">
        <v>144</v>
      </c>
    </row>
    <row r="1762" spans="1:22" x14ac:dyDescent="0.3">
      <c r="A1762">
        <v>24</v>
      </c>
      <c r="B1762">
        <v>4</v>
      </c>
      <c r="C1762">
        <v>207752</v>
      </c>
      <c r="D1762" t="s">
        <v>22</v>
      </c>
      <c r="E1762" s="10">
        <v>44100</v>
      </c>
      <c r="F1762" t="s">
        <v>23</v>
      </c>
      <c r="G1762" s="3" t="s">
        <v>73</v>
      </c>
      <c r="H1762" t="s">
        <v>43</v>
      </c>
      <c r="Q1762">
        <v>1</v>
      </c>
      <c r="R1762">
        <v>1</v>
      </c>
      <c r="T1762" s="13">
        <f t="shared" si="29"/>
        <v>2</v>
      </c>
      <c r="U1762" t="s">
        <v>144</v>
      </c>
    </row>
    <row r="1763" spans="1:22" x14ac:dyDescent="0.3">
      <c r="A1763">
        <v>24</v>
      </c>
      <c r="B1763">
        <v>4</v>
      </c>
      <c r="C1763">
        <v>207752</v>
      </c>
      <c r="D1763" t="s">
        <v>22</v>
      </c>
      <c r="E1763" s="10">
        <v>44100</v>
      </c>
      <c r="F1763" t="s">
        <v>23</v>
      </c>
      <c r="G1763" s="3" t="s">
        <v>73</v>
      </c>
      <c r="H1763" t="s">
        <v>51</v>
      </c>
      <c r="S1763">
        <v>5</v>
      </c>
      <c r="T1763" s="13">
        <f t="shared" si="29"/>
        <v>5</v>
      </c>
      <c r="U1763" t="s">
        <v>144</v>
      </c>
    </row>
    <row r="1764" spans="1:22" x14ac:dyDescent="0.3">
      <c r="A1764">
        <v>24</v>
      </c>
      <c r="B1764">
        <v>4</v>
      </c>
      <c r="C1764">
        <v>207752</v>
      </c>
      <c r="D1764" t="s">
        <v>22</v>
      </c>
      <c r="E1764" s="10">
        <v>44100</v>
      </c>
      <c r="F1764" t="s">
        <v>23</v>
      </c>
      <c r="G1764" s="3" t="s">
        <v>73</v>
      </c>
      <c r="H1764" t="s">
        <v>55</v>
      </c>
      <c r="S1764">
        <v>1</v>
      </c>
      <c r="T1764" s="13">
        <f t="shared" si="29"/>
        <v>1</v>
      </c>
      <c r="U1764" t="s">
        <v>144</v>
      </c>
    </row>
    <row r="1765" spans="1:22" x14ac:dyDescent="0.3">
      <c r="A1765">
        <v>24</v>
      </c>
      <c r="B1765">
        <v>4</v>
      </c>
      <c r="C1765">
        <v>207752</v>
      </c>
      <c r="D1765" t="s">
        <v>22</v>
      </c>
      <c r="E1765" s="10">
        <v>44100</v>
      </c>
      <c r="F1765" t="s">
        <v>23</v>
      </c>
      <c r="G1765" s="3" t="s">
        <v>73</v>
      </c>
      <c r="H1765" t="s">
        <v>41</v>
      </c>
      <c r="S1765">
        <v>9</v>
      </c>
      <c r="T1765" s="13">
        <f t="shared" si="29"/>
        <v>9</v>
      </c>
      <c r="U1765" t="s">
        <v>144</v>
      </c>
    </row>
    <row r="1766" spans="1:22" x14ac:dyDescent="0.3">
      <c r="A1766">
        <v>24</v>
      </c>
      <c r="B1766">
        <v>4</v>
      </c>
      <c r="C1766">
        <v>207752</v>
      </c>
      <c r="D1766" t="s">
        <v>22</v>
      </c>
      <c r="E1766" s="10">
        <v>44100</v>
      </c>
      <c r="F1766" t="s">
        <v>23</v>
      </c>
      <c r="G1766" s="3" t="s">
        <v>73</v>
      </c>
      <c r="H1766" t="s">
        <v>49</v>
      </c>
      <c r="S1766">
        <v>2</v>
      </c>
      <c r="T1766" s="13">
        <f t="shared" si="29"/>
        <v>2</v>
      </c>
      <c r="U1766" t="s">
        <v>144</v>
      </c>
    </row>
    <row r="1767" spans="1:22" x14ac:dyDescent="0.3">
      <c r="A1767">
        <v>24</v>
      </c>
      <c r="B1767">
        <v>4</v>
      </c>
      <c r="C1767">
        <v>207752</v>
      </c>
      <c r="D1767" t="s">
        <v>22</v>
      </c>
      <c r="E1767" s="10">
        <v>44100</v>
      </c>
      <c r="F1767" t="s">
        <v>23</v>
      </c>
      <c r="G1767" s="3" t="s">
        <v>73</v>
      </c>
      <c r="H1767" t="s">
        <v>56</v>
      </c>
      <c r="S1767">
        <v>1</v>
      </c>
      <c r="T1767" s="13">
        <f t="shared" si="29"/>
        <v>1</v>
      </c>
      <c r="U1767" t="s">
        <v>144</v>
      </c>
    </row>
    <row r="1768" spans="1:22" x14ac:dyDescent="0.3">
      <c r="A1768">
        <v>24</v>
      </c>
      <c r="B1768">
        <v>4</v>
      </c>
      <c r="C1768">
        <v>207752</v>
      </c>
      <c r="D1768" t="s">
        <v>22</v>
      </c>
      <c r="E1768" s="10">
        <v>44100</v>
      </c>
      <c r="F1768" t="s">
        <v>23</v>
      </c>
      <c r="G1768" s="3" t="s">
        <v>73</v>
      </c>
      <c r="H1768" t="s">
        <v>57</v>
      </c>
      <c r="S1768">
        <v>1</v>
      </c>
      <c r="T1768" s="13">
        <f t="shared" si="29"/>
        <v>1</v>
      </c>
      <c r="U1768" t="s">
        <v>144</v>
      </c>
    </row>
    <row r="1769" spans="1:22" s="5" customFormat="1" ht="16.2" thickBot="1" x14ac:dyDescent="0.35">
      <c r="A1769" s="5">
        <v>24</v>
      </c>
      <c r="B1769" s="5">
        <v>4</v>
      </c>
      <c r="C1769" s="5">
        <v>207752</v>
      </c>
      <c r="D1769" s="5" t="s">
        <v>22</v>
      </c>
      <c r="E1769" s="11">
        <v>44100</v>
      </c>
      <c r="F1769" s="5" t="s">
        <v>23</v>
      </c>
      <c r="G1769" s="6" t="s">
        <v>73</v>
      </c>
      <c r="H1769" s="5" t="s">
        <v>50</v>
      </c>
      <c r="S1769" s="5">
        <v>2</v>
      </c>
      <c r="T1769" s="12">
        <f t="shared" si="29"/>
        <v>2</v>
      </c>
      <c r="U1769" s="5" t="s">
        <v>144</v>
      </c>
      <c r="V1769" s="14"/>
    </row>
    <row r="1770" spans="1:22" ht="31.2" x14ac:dyDescent="0.3">
      <c r="A1770">
        <v>24</v>
      </c>
      <c r="B1770">
        <v>5</v>
      </c>
      <c r="C1770">
        <v>207753</v>
      </c>
      <c r="D1770" t="s">
        <v>22</v>
      </c>
      <c r="E1770" s="10">
        <v>44100</v>
      </c>
      <c r="F1770" t="s">
        <v>23</v>
      </c>
      <c r="G1770" s="3" t="s">
        <v>99</v>
      </c>
      <c r="H1770" t="s">
        <v>44</v>
      </c>
      <c r="N1770">
        <v>1</v>
      </c>
      <c r="O1770">
        <v>3</v>
      </c>
      <c r="P1770">
        <v>1</v>
      </c>
      <c r="T1770" s="13">
        <f t="shared" si="29"/>
        <v>5</v>
      </c>
      <c r="U1770" t="s">
        <v>144</v>
      </c>
      <c r="V1770" s="15" t="s">
        <v>190</v>
      </c>
    </row>
    <row r="1771" spans="1:22" x14ac:dyDescent="0.3">
      <c r="A1771">
        <v>24</v>
      </c>
      <c r="B1771">
        <v>5</v>
      </c>
      <c r="C1771">
        <v>207753</v>
      </c>
      <c r="D1771" t="s">
        <v>22</v>
      </c>
      <c r="E1771" s="10">
        <v>44100</v>
      </c>
      <c r="F1771" t="s">
        <v>23</v>
      </c>
      <c r="G1771" s="3" t="s">
        <v>99</v>
      </c>
      <c r="H1771" t="s">
        <v>33</v>
      </c>
      <c r="O1771">
        <v>2</v>
      </c>
      <c r="R1771">
        <v>2</v>
      </c>
      <c r="T1771" s="13">
        <f t="shared" si="29"/>
        <v>4</v>
      </c>
      <c r="U1771" t="s">
        <v>144</v>
      </c>
    </row>
    <row r="1772" spans="1:22" x14ac:dyDescent="0.3">
      <c r="A1772">
        <v>24</v>
      </c>
      <c r="B1772">
        <v>5</v>
      </c>
      <c r="C1772">
        <v>207753</v>
      </c>
      <c r="D1772" t="s">
        <v>22</v>
      </c>
      <c r="E1772" s="10">
        <v>44100</v>
      </c>
      <c r="F1772" t="s">
        <v>23</v>
      </c>
      <c r="G1772" s="3" t="s">
        <v>99</v>
      </c>
      <c r="H1772" t="s">
        <v>30</v>
      </c>
      <c r="I1772">
        <v>9</v>
      </c>
      <c r="J1772">
        <v>27</v>
      </c>
      <c r="T1772" s="13">
        <f t="shared" si="29"/>
        <v>36</v>
      </c>
      <c r="U1772" t="s">
        <v>144</v>
      </c>
    </row>
    <row r="1773" spans="1:22" x14ac:dyDescent="0.3">
      <c r="A1773">
        <v>24</v>
      </c>
      <c r="B1773">
        <v>5</v>
      </c>
      <c r="C1773">
        <v>207753</v>
      </c>
      <c r="D1773" t="s">
        <v>22</v>
      </c>
      <c r="E1773" s="10">
        <v>44100</v>
      </c>
      <c r="F1773" t="s">
        <v>23</v>
      </c>
      <c r="G1773" s="3" t="s">
        <v>99</v>
      </c>
      <c r="H1773" t="s">
        <v>37</v>
      </c>
      <c r="O1773">
        <v>17</v>
      </c>
      <c r="P1773">
        <v>6</v>
      </c>
      <c r="Q1773">
        <v>9</v>
      </c>
      <c r="R1773">
        <v>3</v>
      </c>
      <c r="T1773" s="13">
        <f t="shared" si="29"/>
        <v>35</v>
      </c>
      <c r="U1773" t="s">
        <v>144</v>
      </c>
    </row>
    <row r="1774" spans="1:22" x14ac:dyDescent="0.3">
      <c r="A1774">
        <v>24</v>
      </c>
      <c r="B1774">
        <v>5</v>
      </c>
      <c r="C1774">
        <v>207753</v>
      </c>
      <c r="D1774" t="s">
        <v>22</v>
      </c>
      <c r="E1774" s="10">
        <v>44100</v>
      </c>
      <c r="F1774" t="s">
        <v>23</v>
      </c>
      <c r="G1774" s="3" t="s">
        <v>99</v>
      </c>
      <c r="H1774" t="s">
        <v>38</v>
      </c>
      <c r="R1774">
        <v>18</v>
      </c>
      <c r="T1774" s="13">
        <f t="shared" si="29"/>
        <v>18</v>
      </c>
      <c r="U1774" t="s">
        <v>144</v>
      </c>
    </row>
    <row r="1775" spans="1:22" x14ac:dyDescent="0.3">
      <c r="A1775">
        <v>24</v>
      </c>
      <c r="B1775">
        <v>5</v>
      </c>
      <c r="C1775">
        <v>207753</v>
      </c>
      <c r="D1775" t="s">
        <v>22</v>
      </c>
      <c r="E1775" s="10">
        <v>44100</v>
      </c>
      <c r="F1775" t="s">
        <v>23</v>
      </c>
      <c r="G1775" s="3" t="s">
        <v>99</v>
      </c>
      <c r="H1775" t="s">
        <v>98</v>
      </c>
      <c r="P1775">
        <v>22</v>
      </c>
      <c r="Q1775">
        <v>1</v>
      </c>
      <c r="R1775">
        <v>2</v>
      </c>
      <c r="T1775" s="13">
        <f t="shared" si="29"/>
        <v>25</v>
      </c>
      <c r="U1775" t="s">
        <v>144</v>
      </c>
    </row>
    <row r="1776" spans="1:22" x14ac:dyDescent="0.3">
      <c r="A1776">
        <v>24</v>
      </c>
      <c r="B1776">
        <v>5</v>
      </c>
      <c r="C1776">
        <v>207753</v>
      </c>
      <c r="D1776" t="s">
        <v>22</v>
      </c>
      <c r="E1776" s="10">
        <v>44100</v>
      </c>
      <c r="F1776" t="s">
        <v>23</v>
      </c>
      <c r="G1776" s="3" t="s">
        <v>99</v>
      </c>
      <c r="H1776" t="s">
        <v>31</v>
      </c>
      <c r="P1776">
        <v>3</v>
      </c>
      <c r="Q1776">
        <v>1</v>
      </c>
      <c r="T1776" s="13">
        <f t="shared" si="29"/>
        <v>4</v>
      </c>
      <c r="U1776" t="s">
        <v>144</v>
      </c>
    </row>
    <row r="1777" spans="1:22" x14ac:dyDescent="0.3">
      <c r="A1777">
        <v>24</v>
      </c>
      <c r="B1777">
        <v>5</v>
      </c>
      <c r="C1777">
        <v>207753</v>
      </c>
      <c r="D1777" t="s">
        <v>22</v>
      </c>
      <c r="E1777" s="10">
        <v>44100</v>
      </c>
      <c r="F1777" t="s">
        <v>23</v>
      </c>
      <c r="G1777" s="3" t="s">
        <v>99</v>
      </c>
      <c r="H1777" t="s">
        <v>32</v>
      </c>
      <c r="O1777">
        <v>23</v>
      </c>
      <c r="T1777" s="13">
        <f t="shared" si="29"/>
        <v>23</v>
      </c>
      <c r="U1777" t="s">
        <v>144</v>
      </c>
    </row>
    <row r="1778" spans="1:22" x14ac:dyDescent="0.3">
      <c r="A1778">
        <v>24</v>
      </c>
      <c r="B1778">
        <v>5</v>
      </c>
      <c r="C1778">
        <v>207753</v>
      </c>
      <c r="D1778" t="s">
        <v>22</v>
      </c>
      <c r="E1778" s="10">
        <v>44100</v>
      </c>
      <c r="F1778" t="s">
        <v>23</v>
      </c>
      <c r="G1778" s="3" t="s">
        <v>99</v>
      </c>
      <c r="H1778" t="s">
        <v>45</v>
      </c>
      <c r="I1778">
        <v>1</v>
      </c>
      <c r="K1778">
        <v>13</v>
      </c>
      <c r="T1778" s="13">
        <f t="shared" si="29"/>
        <v>14</v>
      </c>
      <c r="U1778" t="s">
        <v>144</v>
      </c>
    </row>
    <row r="1779" spans="1:22" x14ac:dyDescent="0.3">
      <c r="A1779">
        <v>24</v>
      </c>
      <c r="B1779">
        <v>5</v>
      </c>
      <c r="C1779">
        <v>207753</v>
      </c>
      <c r="D1779" t="s">
        <v>22</v>
      </c>
      <c r="E1779" s="10">
        <v>44100</v>
      </c>
      <c r="F1779" t="s">
        <v>23</v>
      </c>
      <c r="G1779" s="3" t="s">
        <v>99</v>
      </c>
      <c r="H1779" t="s">
        <v>46</v>
      </c>
      <c r="Q1779">
        <v>27</v>
      </c>
      <c r="T1779" s="13">
        <f t="shared" si="29"/>
        <v>27</v>
      </c>
      <c r="U1779" t="s">
        <v>144</v>
      </c>
    </row>
    <row r="1780" spans="1:22" x14ac:dyDescent="0.3">
      <c r="A1780">
        <v>24</v>
      </c>
      <c r="B1780">
        <v>5</v>
      </c>
      <c r="C1780">
        <v>207753</v>
      </c>
      <c r="D1780" t="s">
        <v>22</v>
      </c>
      <c r="E1780" s="10">
        <v>44100</v>
      </c>
      <c r="F1780" t="s">
        <v>23</v>
      </c>
      <c r="G1780" s="3" t="s">
        <v>99</v>
      </c>
      <c r="H1780" t="s">
        <v>49</v>
      </c>
      <c r="S1780">
        <v>1</v>
      </c>
      <c r="T1780" s="13">
        <f t="shared" si="29"/>
        <v>1</v>
      </c>
      <c r="U1780" t="s">
        <v>144</v>
      </c>
    </row>
    <row r="1781" spans="1:22" x14ac:dyDescent="0.3">
      <c r="A1781">
        <v>24</v>
      </c>
      <c r="B1781">
        <v>5</v>
      </c>
      <c r="C1781">
        <v>207753</v>
      </c>
      <c r="D1781" t="s">
        <v>22</v>
      </c>
      <c r="E1781" s="10">
        <v>44100</v>
      </c>
      <c r="F1781" t="s">
        <v>23</v>
      </c>
      <c r="G1781" s="3" t="s">
        <v>99</v>
      </c>
      <c r="H1781" t="s">
        <v>56</v>
      </c>
      <c r="S1781">
        <v>3</v>
      </c>
      <c r="T1781" s="13">
        <f t="shared" si="29"/>
        <v>3</v>
      </c>
      <c r="U1781" t="s">
        <v>144</v>
      </c>
    </row>
    <row r="1782" spans="1:22" s="5" customFormat="1" ht="16.2" thickBot="1" x14ac:dyDescent="0.35">
      <c r="A1782" s="5">
        <v>24</v>
      </c>
      <c r="B1782" s="5">
        <v>5</v>
      </c>
      <c r="C1782" s="5">
        <v>207753</v>
      </c>
      <c r="D1782" s="5" t="s">
        <v>22</v>
      </c>
      <c r="E1782" s="11">
        <v>44100</v>
      </c>
      <c r="F1782" s="5" t="s">
        <v>23</v>
      </c>
      <c r="G1782" s="6" t="s">
        <v>99</v>
      </c>
      <c r="H1782" s="5" t="s">
        <v>57</v>
      </c>
      <c r="S1782" s="5">
        <v>2</v>
      </c>
      <c r="T1782" s="12">
        <f t="shared" ref="T1782" si="30">SUM(I1782:S1782)</f>
        <v>2</v>
      </c>
      <c r="U1782" s="5" t="s">
        <v>144</v>
      </c>
      <c r="V1782" s="14"/>
    </row>
    <row r="1783" spans="1:22" x14ac:dyDescent="0.3">
      <c r="E1783" s="10"/>
    </row>
  </sheetData>
  <autoFilter ref="H1:H1783" xr:uid="{381AF2C8-4E25-0842-847F-3F57901143EE}"/>
  <sortState xmlns:xlrd2="http://schemas.microsoft.com/office/spreadsheetml/2017/richdata2" ref="A2:V1783">
    <sortCondition ref="A1:A1783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E72B0-EA5A-F246-886B-6DCC0CC2C93F}">
  <dimension ref="A1:J195"/>
  <sheetViews>
    <sheetView workbookViewId="0">
      <selection activeCell="J187" sqref="J187"/>
    </sheetView>
  </sheetViews>
  <sheetFormatPr defaultColWidth="11" defaultRowHeight="15.6" x14ac:dyDescent="0.3"/>
  <cols>
    <col min="5" max="5" width="11.5" bestFit="1" customWidth="1"/>
    <col min="7" max="7" width="11.69921875" bestFit="1" customWidth="1"/>
    <col min="8" max="8" width="17.796875" style="3" bestFit="1" customWidth="1"/>
  </cols>
  <sheetData>
    <row r="1" spans="1:10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20</v>
      </c>
      <c r="H1" s="2" t="s">
        <v>6</v>
      </c>
      <c r="I1" s="1" t="s">
        <v>105</v>
      </c>
      <c r="J1" s="1" t="s">
        <v>194</v>
      </c>
    </row>
    <row r="2" spans="1:10" x14ac:dyDescent="0.3">
      <c r="A2">
        <v>3</v>
      </c>
      <c r="B2">
        <v>1</v>
      </c>
      <c r="C2">
        <v>207487</v>
      </c>
      <c r="D2" t="s">
        <v>252</v>
      </c>
      <c r="E2" s="10">
        <v>44085</v>
      </c>
      <c r="F2" t="s">
        <v>23</v>
      </c>
      <c r="G2" t="s">
        <v>143</v>
      </c>
      <c r="H2" s="3" t="s">
        <v>52</v>
      </c>
      <c r="I2">
        <v>9.7500000000000003E-2</v>
      </c>
    </row>
    <row r="3" spans="1:10" x14ac:dyDescent="0.3">
      <c r="A3">
        <v>3</v>
      </c>
      <c r="B3">
        <v>1</v>
      </c>
      <c r="C3">
        <v>207487</v>
      </c>
      <c r="D3" t="s">
        <v>252</v>
      </c>
      <c r="E3" s="10">
        <v>44085</v>
      </c>
      <c r="F3" t="s">
        <v>23</v>
      </c>
      <c r="G3" t="s">
        <v>144</v>
      </c>
      <c r="H3" s="3" t="s">
        <v>28</v>
      </c>
      <c r="I3">
        <v>1.37E-2</v>
      </c>
    </row>
    <row r="4" spans="1:10" x14ac:dyDescent="0.3">
      <c r="A4">
        <v>3</v>
      </c>
      <c r="B4">
        <v>2</v>
      </c>
      <c r="C4">
        <v>207488</v>
      </c>
      <c r="D4" t="s">
        <v>252</v>
      </c>
      <c r="E4" s="10">
        <v>44085</v>
      </c>
      <c r="F4" t="s">
        <v>23</v>
      </c>
      <c r="G4" t="s">
        <v>143</v>
      </c>
      <c r="H4" s="3" t="s">
        <v>52</v>
      </c>
      <c r="I4">
        <f>SUM(0.2779+0.0047)</f>
        <v>0.28259999999999996</v>
      </c>
    </row>
    <row r="5" spans="1:10" x14ac:dyDescent="0.3">
      <c r="A5">
        <v>3</v>
      </c>
      <c r="B5">
        <v>2</v>
      </c>
      <c r="C5">
        <v>207488</v>
      </c>
      <c r="D5" t="s">
        <v>252</v>
      </c>
      <c r="E5" s="10">
        <v>44085</v>
      </c>
      <c r="F5" t="s">
        <v>23</v>
      </c>
      <c r="G5" t="s">
        <v>144</v>
      </c>
      <c r="H5" s="3" t="s">
        <v>52</v>
      </c>
      <c r="I5">
        <v>0</v>
      </c>
      <c r="J5" t="s">
        <v>247</v>
      </c>
    </row>
    <row r="6" spans="1:10" x14ac:dyDescent="0.3">
      <c r="A6">
        <v>3</v>
      </c>
      <c r="B6">
        <v>2</v>
      </c>
      <c r="C6">
        <v>207488</v>
      </c>
      <c r="D6" t="s">
        <v>252</v>
      </c>
      <c r="E6" s="10">
        <v>44085</v>
      </c>
      <c r="F6" t="s">
        <v>23</v>
      </c>
      <c r="G6" t="s">
        <v>144</v>
      </c>
      <c r="H6" s="3" t="s">
        <v>28</v>
      </c>
      <c r="I6">
        <v>6.3E-3</v>
      </c>
    </row>
    <row r="7" spans="1:10" x14ac:dyDescent="0.3">
      <c r="A7">
        <v>3</v>
      </c>
      <c r="B7">
        <v>2</v>
      </c>
      <c r="C7">
        <v>207488</v>
      </c>
      <c r="D7" t="s">
        <v>252</v>
      </c>
      <c r="E7" s="10">
        <v>44085</v>
      </c>
      <c r="F7" t="s">
        <v>23</v>
      </c>
      <c r="G7" t="s">
        <v>144</v>
      </c>
      <c r="H7" s="3" t="s">
        <v>178</v>
      </c>
      <c r="I7">
        <v>3.8999999999999998E-3</v>
      </c>
    </row>
    <row r="8" spans="1:10" x14ac:dyDescent="0.3">
      <c r="A8">
        <v>3</v>
      </c>
      <c r="B8">
        <v>3</v>
      </c>
      <c r="C8">
        <v>207489</v>
      </c>
      <c r="D8" t="s">
        <v>252</v>
      </c>
      <c r="E8" s="10">
        <v>44085</v>
      </c>
      <c r="F8" t="s">
        <v>23</v>
      </c>
      <c r="G8" t="s">
        <v>143</v>
      </c>
      <c r="H8" s="3" t="s">
        <v>52</v>
      </c>
      <c r="I8">
        <v>3.2899999999999999E-2</v>
      </c>
    </row>
    <row r="9" spans="1:10" x14ac:dyDescent="0.3">
      <c r="A9">
        <v>3</v>
      </c>
      <c r="B9">
        <v>3</v>
      </c>
      <c r="C9">
        <v>207489</v>
      </c>
      <c r="D9" t="s">
        <v>252</v>
      </c>
      <c r="E9" s="10">
        <v>44085</v>
      </c>
      <c r="F9" t="s">
        <v>23</v>
      </c>
      <c r="G9" t="s">
        <v>144</v>
      </c>
      <c r="H9" s="3" t="s">
        <v>52</v>
      </c>
      <c r="I9">
        <v>0</v>
      </c>
      <c r="J9" t="s">
        <v>247</v>
      </c>
    </row>
    <row r="10" spans="1:10" x14ac:dyDescent="0.3">
      <c r="A10">
        <v>3</v>
      </c>
      <c r="B10">
        <v>3</v>
      </c>
      <c r="C10">
        <v>207489</v>
      </c>
      <c r="D10" t="s">
        <v>252</v>
      </c>
      <c r="E10" s="10">
        <v>44085</v>
      </c>
      <c r="F10" t="s">
        <v>23</v>
      </c>
      <c r="G10" t="s">
        <v>144</v>
      </c>
      <c r="H10" s="3" t="s">
        <v>68</v>
      </c>
      <c r="I10">
        <v>2.9700000000000001E-2</v>
      </c>
    </row>
    <row r="11" spans="1:10" x14ac:dyDescent="0.3">
      <c r="A11">
        <v>3</v>
      </c>
      <c r="B11">
        <v>3</v>
      </c>
      <c r="C11">
        <v>207489</v>
      </c>
      <c r="D11" t="s">
        <v>252</v>
      </c>
      <c r="E11" s="10">
        <v>44085</v>
      </c>
      <c r="F11" t="s">
        <v>23</v>
      </c>
      <c r="G11" t="s">
        <v>144</v>
      </c>
      <c r="H11" s="3" t="s">
        <v>28</v>
      </c>
      <c r="I11">
        <v>5.4000000000000003E-3</v>
      </c>
    </row>
    <row r="12" spans="1:10" x14ac:dyDescent="0.3">
      <c r="A12">
        <v>3</v>
      </c>
      <c r="B12">
        <v>4</v>
      </c>
      <c r="C12">
        <v>207490</v>
      </c>
      <c r="D12" t="s">
        <v>252</v>
      </c>
      <c r="E12" s="10">
        <v>44085</v>
      </c>
      <c r="F12" t="s">
        <v>23</v>
      </c>
      <c r="G12" t="s">
        <v>144</v>
      </c>
      <c r="H12" s="3" t="s">
        <v>68</v>
      </c>
      <c r="I12">
        <v>2.7000000000000001E-3</v>
      </c>
    </row>
    <row r="13" spans="1:10" x14ac:dyDescent="0.3">
      <c r="A13">
        <v>3</v>
      </c>
      <c r="B13">
        <v>4</v>
      </c>
      <c r="C13">
        <v>207490</v>
      </c>
      <c r="D13" t="s">
        <v>252</v>
      </c>
      <c r="E13" s="10">
        <v>44085</v>
      </c>
      <c r="F13" t="s">
        <v>23</v>
      </c>
      <c r="G13" t="s">
        <v>144</v>
      </c>
      <c r="H13" s="3" t="s">
        <v>28</v>
      </c>
      <c r="I13">
        <v>3.3999999999999998E-3</v>
      </c>
    </row>
    <row r="14" spans="1:10" x14ac:dyDescent="0.3">
      <c r="A14">
        <v>3</v>
      </c>
      <c r="B14">
        <v>5</v>
      </c>
      <c r="C14">
        <v>207491</v>
      </c>
      <c r="D14" t="s">
        <v>252</v>
      </c>
      <c r="E14" s="10">
        <v>44085</v>
      </c>
      <c r="F14" t="s">
        <v>23</v>
      </c>
      <c r="G14" t="s">
        <v>144</v>
      </c>
      <c r="H14" s="3" t="s">
        <v>54</v>
      </c>
      <c r="I14">
        <v>4.0000000000000002E-4</v>
      </c>
    </row>
    <row r="15" spans="1:10" x14ac:dyDescent="0.3">
      <c r="A15">
        <v>3</v>
      </c>
      <c r="B15">
        <v>5</v>
      </c>
      <c r="C15">
        <v>207491</v>
      </c>
      <c r="D15" t="s">
        <v>252</v>
      </c>
      <c r="E15" s="10">
        <v>44085</v>
      </c>
      <c r="F15" t="s">
        <v>23</v>
      </c>
      <c r="G15" t="s">
        <v>144</v>
      </c>
      <c r="H15" s="3" t="s">
        <v>90</v>
      </c>
      <c r="I15">
        <v>4.0000000000000002E-4</v>
      </c>
    </row>
    <row r="16" spans="1:10" x14ac:dyDescent="0.3">
      <c r="A16">
        <v>4</v>
      </c>
      <c r="B16">
        <v>1</v>
      </c>
      <c r="C16">
        <v>207492</v>
      </c>
      <c r="D16" t="s">
        <v>22</v>
      </c>
      <c r="E16" s="10">
        <v>44093</v>
      </c>
      <c r="F16" t="s">
        <v>23</v>
      </c>
      <c r="G16" t="s">
        <v>143</v>
      </c>
      <c r="H16" s="3" t="s">
        <v>52</v>
      </c>
      <c r="I16">
        <v>1.2678</v>
      </c>
    </row>
    <row r="17" spans="1:9" x14ac:dyDescent="0.3">
      <c r="A17">
        <v>4</v>
      </c>
      <c r="B17">
        <v>1</v>
      </c>
      <c r="C17">
        <v>207492</v>
      </c>
      <c r="D17" t="s">
        <v>22</v>
      </c>
      <c r="E17" s="10">
        <v>44093</v>
      </c>
      <c r="F17" t="s">
        <v>23</v>
      </c>
      <c r="G17" t="s">
        <v>144</v>
      </c>
      <c r="H17" s="3" t="s">
        <v>48</v>
      </c>
      <c r="I17">
        <v>4.9000000000000002E-2</v>
      </c>
    </row>
    <row r="18" spans="1:9" x14ac:dyDescent="0.3">
      <c r="A18">
        <v>4</v>
      </c>
      <c r="B18">
        <v>1</v>
      </c>
      <c r="C18">
        <v>207492</v>
      </c>
      <c r="D18" t="s">
        <v>22</v>
      </c>
      <c r="E18" s="10">
        <v>44093</v>
      </c>
      <c r="F18" t="s">
        <v>23</v>
      </c>
      <c r="G18" t="s">
        <v>144</v>
      </c>
      <c r="H18" s="3" t="s">
        <v>73</v>
      </c>
      <c r="I18">
        <v>1.6799999999999999E-2</v>
      </c>
    </row>
    <row r="19" spans="1:9" x14ac:dyDescent="0.3">
      <c r="A19">
        <v>4</v>
      </c>
      <c r="B19">
        <v>1</v>
      </c>
      <c r="C19">
        <v>207492</v>
      </c>
      <c r="D19" t="s">
        <v>22</v>
      </c>
      <c r="E19" s="10">
        <v>44093</v>
      </c>
      <c r="F19" t="s">
        <v>23</v>
      </c>
      <c r="G19" t="s">
        <v>144</v>
      </c>
      <c r="H19" s="3" t="s">
        <v>52</v>
      </c>
      <c r="I19">
        <v>1.2999999999999999E-3</v>
      </c>
    </row>
    <row r="20" spans="1:9" x14ac:dyDescent="0.3">
      <c r="A20">
        <v>4</v>
      </c>
      <c r="B20">
        <v>2</v>
      </c>
      <c r="C20">
        <v>207493</v>
      </c>
      <c r="D20" t="s">
        <v>22</v>
      </c>
      <c r="E20" s="10">
        <v>44093</v>
      </c>
      <c r="F20" t="s">
        <v>23</v>
      </c>
      <c r="G20" t="s">
        <v>144</v>
      </c>
      <c r="H20" s="3" t="s">
        <v>145</v>
      </c>
      <c r="I20">
        <v>2.87E-2</v>
      </c>
    </row>
    <row r="21" spans="1:9" x14ac:dyDescent="0.3">
      <c r="A21">
        <v>4</v>
      </c>
      <c r="B21">
        <v>2</v>
      </c>
      <c r="C21">
        <v>207493</v>
      </c>
      <c r="D21" t="s">
        <v>22</v>
      </c>
      <c r="E21" s="10">
        <v>44093</v>
      </c>
      <c r="F21" t="s">
        <v>23</v>
      </c>
      <c r="G21" t="s">
        <v>144</v>
      </c>
      <c r="H21" s="3" t="s">
        <v>146</v>
      </c>
      <c r="I21">
        <v>1.44E-2</v>
      </c>
    </row>
    <row r="22" spans="1:9" x14ac:dyDescent="0.3">
      <c r="A22">
        <v>4</v>
      </c>
      <c r="B22">
        <v>3</v>
      </c>
      <c r="C22">
        <v>207494</v>
      </c>
      <c r="D22" t="s">
        <v>22</v>
      </c>
      <c r="E22" s="10">
        <v>44093</v>
      </c>
      <c r="F22" t="s">
        <v>23</v>
      </c>
      <c r="G22" t="s">
        <v>143</v>
      </c>
      <c r="H22" s="3" t="s">
        <v>149</v>
      </c>
      <c r="I22">
        <v>2.9999999999999997E-4</v>
      </c>
    </row>
    <row r="23" spans="1:9" x14ac:dyDescent="0.3">
      <c r="A23">
        <v>4</v>
      </c>
      <c r="B23">
        <v>3</v>
      </c>
      <c r="C23">
        <v>207494</v>
      </c>
      <c r="D23" t="s">
        <v>22</v>
      </c>
      <c r="E23" s="10">
        <v>44093</v>
      </c>
      <c r="F23" t="s">
        <v>23</v>
      </c>
      <c r="G23" t="s">
        <v>144</v>
      </c>
      <c r="H23" s="3" t="s">
        <v>149</v>
      </c>
      <c r="I23">
        <v>1.3100000000000001E-2</v>
      </c>
    </row>
    <row r="24" spans="1:9" x14ac:dyDescent="0.3">
      <c r="A24">
        <v>4</v>
      </c>
      <c r="B24">
        <v>4</v>
      </c>
      <c r="C24">
        <v>207495</v>
      </c>
      <c r="D24" t="s">
        <v>22</v>
      </c>
      <c r="E24" s="10">
        <v>44093</v>
      </c>
      <c r="F24" t="s">
        <v>23</v>
      </c>
      <c r="G24" t="s">
        <v>144</v>
      </c>
      <c r="H24" s="3" t="s">
        <v>48</v>
      </c>
      <c r="I24">
        <v>1.09E-2</v>
      </c>
    </row>
    <row r="25" spans="1:9" x14ac:dyDescent="0.3">
      <c r="A25">
        <v>4</v>
      </c>
      <c r="B25">
        <v>5</v>
      </c>
      <c r="C25">
        <v>207496</v>
      </c>
      <c r="D25" t="s">
        <v>22</v>
      </c>
      <c r="E25" s="10">
        <v>44093</v>
      </c>
      <c r="F25" t="s">
        <v>23</v>
      </c>
      <c r="G25" t="s">
        <v>144</v>
      </c>
      <c r="H25" s="3" t="s">
        <v>149</v>
      </c>
      <c r="I25">
        <v>8.0000000000000002E-3</v>
      </c>
    </row>
    <row r="26" spans="1:9" x14ac:dyDescent="0.3">
      <c r="A26">
        <v>5</v>
      </c>
      <c r="B26">
        <v>1</v>
      </c>
      <c r="C26">
        <v>207497</v>
      </c>
      <c r="D26" t="s">
        <v>22</v>
      </c>
      <c r="E26" s="10">
        <v>44093</v>
      </c>
      <c r="F26" t="s">
        <v>23</v>
      </c>
      <c r="G26" t="s">
        <v>143</v>
      </c>
      <c r="H26" s="3" t="s">
        <v>52</v>
      </c>
      <c r="I26">
        <v>6.1199999999999997E-2</v>
      </c>
    </row>
    <row r="27" spans="1:9" x14ac:dyDescent="0.3">
      <c r="A27">
        <v>5</v>
      </c>
      <c r="B27">
        <v>1</v>
      </c>
      <c r="C27">
        <v>207497</v>
      </c>
      <c r="D27" t="s">
        <v>22</v>
      </c>
      <c r="E27" s="10">
        <v>44093</v>
      </c>
      <c r="F27" t="s">
        <v>23</v>
      </c>
      <c r="G27" t="s">
        <v>144</v>
      </c>
      <c r="H27" s="3" t="s">
        <v>52</v>
      </c>
      <c r="I27">
        <v>1E-4</v>
      </c>
    </row>
    <row r="28" spans="1:9" x14ac:dyDescent="0.3">
      <c r="A28">
        <v>5</v>
      </c>
      <c r="B28">
        <v>1</v>
      </c>
      <c r="C28">
        <v>207497</v>
      </c>
      <c r="D28" t="s">
        <v>22</v>
      </c>
      <c r="E28" s="10">
        <v>44093</v>
      </c>
      <c r="F28" t="s">
        <v>23</v>
      </c>
      <c r="G28" t="s">
        <v>144</v>
      </c>
      <c r="H28" s="3" t="s">
        <v>80</v>
      </c>
      <c r="I28">
        <v>1.3100000000000001E-2</v>
      </c>
    </row>
    <row r="29" spans="1:9" x14ac:dyDescent="0.3">
      <c r="A29">
        <v>5</v>
      </c>
      <c r="B29">
        <v>1</v>
      </c>
      <c r="C29">
        <v>207497</v>
      </c>
      <c r="D29" t="s">
        <v>22</v>
      </c>
      <c r="E29" s="10">
        <v>44093</v>
      </c>
      <c r="F29" t="s">
        <v>23</v>
      </c>
      <c r="G29" t="s">
        <v>144</v>
      </c>
      <c r="H29" s="3" t="s">
        <v>68</v>
      </c>
      <c r="I29">
        <v>4.99E-2</v>
      </c>
    </row>
    <row r="30" spans="1:9" x14ac:dyDescent="0.3">
      <c r="A30">
        <v>5</v>
      </c>
      <c r="B30">
        <v>2</v>
      </c>
      <c r="C30">
        <v>207498</v>
      </c>
      <c r="D30" t="s">
        <v>22</v>
      </c>
      <c r="E30" s="10">
        <v>44093</v>
      </c>
      <c r="F30" t="s">
        <v>23</v>
      </c>
      <c r="G30" t="s">
        <v>144</v>
      </c>
      <c r="H30" s="3" t="s">
        <v>97</v>
      </c>
      <c r="I30">
        <v>3.9600000000000003E-2</v>
      </c>
    </row>
    <row r="31" spans="1:9" x14ac:dyDescent="0.3">
      <c r="A31">
        <v>5</v>
      </c>
      <c r="B31">
        <v>2</v>
      </c>
      <c r="C31">
        <v>207498</v>
      </c>
      <c r="D31" t="s">
        <v>22</v>
      </c>
      <c r="E31" s="10">
        <v>44093</v>
      </c>
      <c r="F31" t="s">
        <v>23</v>
      </c>
      <c r="G31" t="s">
        <v>144</v>
      </c>
      <c r="H31" s="3" t="s">
        <v>73</v>
      </c>
      <c r="I31">
        <v>1.23E-2</v>
      </c>
    </row>
    <row r="32" spans="1:9" x14ac:dyDescent="0.3">
      <c r="A32">
        <v>5</v>
      </c>
      <c r="B32">
        <v>3</v>
      </c>
      <c r="C32">
        <v>207499</v>
      </c>
      <c r="D32" t="s">
        <v>22</v>
      </c>
      <c r="E32" s="10">
        <v>44093</v>
      </c>
      <c r="F32" t="s">
        <v>23</v>
      </c>
      <c r="G32" t="s">
        <v>143</v>
      </c>
      <c r="H32" s="3" t="s">
        <v>52</v>
      </c>
      <c r="I32">
        <v>0.2389</v>
      </c>
    </row>
    <row r="33" spans="1:10" x14ac:dyDescent="0.3">
      <c r="A33">
        <v>5</v>
      </c>
      <c r="B33">
        <v>3</v>
      </c>
      <c r="C33">
        <v>207499</v>
      </c>
      <c r="D33" t="s">
        <v>22</v>
      </c>
      <c r="E33" s="10">
        <v>44093</v>
      </c>
      <c r="F33" t="s">
        <v>23</v>
      </c>
      <c r="G33" t="s">
        <v>144</v>
      </c>
      <c r="H33" s="3" t="s">
        <v>48</v>
      </c>
      <c r="I33">
        <v>1.8800000000000001E-2</v>
      </c>
    </row>
    <row r="34" spans="1:10" x14ac:dyDescent="0.3">
      <c r="A34">
        <v>5</v>
      </c>
      <c r="B34">
        <v>4</v>
      </c>
      <c r="C34">
        <v>207500</v>
      </c>
      <c r="D34" t="s">
        <v>22</v>
      </c>
      <c r="E34" s="10">
        <v>44093</v>
      </c>
      <c r="F34" t="s">
        <v>23</v>
      </c>
      <c r="G34" t="s">
        <v>144</v>
      </c>
      <c r="H34" s="3" t="s">
        <v>90</v>
      </c>
      <c r="I34">
        <v>1.5800000000000002E-2</v>
      </c>
    </row>
    <row r="35" spans="1:10" x14ac:dyDescent="0.3">
      <c r="A35">
        <v>5</v>
      </c>
      <c r="B35">
        <v>5</v>
      </c>
      <c r="C35">
        <v>207854</v>
      </c>
      <c r="D35" t="s">
        <v>22</v>
      </c>
      <c r="E35" s="10">
        <v>44093</v>
      </c>
      <c r="F35" t="s">
        <v>23</v>
      </c>
      <c r="G35" t="s">
        <v>144</v>
      </c>
      <c r="H35" s="3" t="s">
        <v>145</v>
      </c>
      <c r="I35">
        <v>2.4500000000000001E-2</v>
      </c>
    </row>
    <row r="36" spans="1:10" x14ac:dyDescent="0.3">
      <c r="A36">
        <v>5</v>
      </c>
      <c r="B36">
        <v>5</v>
      </c>
      <c r="C36">
        <v>207854</v>
      </c>
      <c r="D36" t="s">
        <v>22</v>
      </c>
      <c r="E36" s="10">
        <v>44093</v>
      </c>
      <c r="F36" t="s">
        <v>23</v>
      </c>
      <c r="G36" t="s">
        <v>144</v>
      </c>
      <c r="H36" s="3" t="s">
        <v>162</v>
      </c>
      <c r="I36">
        <v>8.8999999999999999E-3</v>
      </c>
    </row>
    <row r="37" spans="1:10" x14ac:dyDescent="0.3">
      <c r="A37">
        <v>6</v>
      </c>
      <c r="B37">
        <v>1</v>
      </c>
      <c r="C37">
        <v>207855</v>
      </c>
      <c r="D37" t="s">
        <v>22</v>
      </c>
      <c r="E37" s="10">
        <v>44094</v>
      </c>
      <c r="F37" t="s">
        <v>23</v>
      </c>
      <c r="G37" t="s">
        <v>144</v>
      </c>
      <c r="H37" s="3" t="s">
        <v>87</v>
      </c>
      <c r="I37">
        <v>5.6000000000000001E-2</v>
      </c>
    </row>
    <row r="38" spans="1:10" x14ac:dyDescent="0.3">
      <c r="A38">
        <v>6</v>
      </c>
      <c r="B38">
        <v>1</v>
      </c>
      <c r="C38">
        <v>207855</v>
      </c>
      <c r="D38" t="s">
        <v>22</v>
      </c>
      <c r="E38" s="10">
        <v>44094</v>
      </c>
      <c r="F38" t="s">
        <v>23</v>
      </c>
      <c r="G38" t="s">
        <v>144</v>
      </c>
      <c r="H38" s="3" t="s">
        <v>28</v>
      </c>
      <c r="I38">
        <v>1.61E-2</v>
      </c>
    </row>
    <row r="39" spans="1:10" x14ac:dyDescent="0.3">
      <c r="A39">
        <v>6</v>
      </c>
      <c r="B39">
        <v>2</v>
      </c>
      <c r="C39">
        <v>207856</v>
      </c>
      <c r="D39" t="s">
        <v>22</v>
      </c>
      <c r="E39" s="10">
        <v>44094</v>
      </c>
      <c r="F39" t="s">
        <v>23</v>
      </c>
      <c r="G39" t="s">
        <v>144</v>
      </c>
      <c r="H39" s="3" t="s">
        <v>68</v>
      </c>
      <c r="I39">
        <v>1.32E-2</v>
      </c>
    </row>
    <row r="40" spans="1:10" x14ac:dyDescent="0.3">
      <c r="A40">
        <v>6</v>
      </c>
      <c r="B40">
        <v>2</v>
      </c>
      <c r="C40">
        <v>207856</v>
      </c>
      <c r="D40" t="s">
        <v>22</v>
      </c>
      <c r="E40" s="10">
        <v>44094</v>
      </c>
      <c r="F40" t="s">
        <v>23</v>
      </c>
      <c r="G40" t="s">
        <v>144</v>
      </c>
      <c r="H40" s="3" t="s">
        <v>28</v>
      </c>
      <c r="I40">
        <v>1.24E-2</v>
      </c>
    </row>
    <row r="41" spans="1:10" x14ac:dyDescent="0.3">
      <c r="A41">
        <v>6</v>
      </c>
      <c r="B41">
        <v>3</v>
      </c>
      <c r="C41">
        <v>207857</v>
      </c>
      <c r="D41" t="s">
        <v>22</v>
      </c>
      <c r="E41" s="10">
        <v>44094</v>
      </c>
      <c r="F41" t="s">
        <v>23</v>
      </c>
      <c r="G41" t="s">
        <v>144</v>
      </c>
      <c r="H41" s="3" t="s">
        <v>28</v>
      </c>
      <c r="I41">
        <v>0</v>
      </c>
      <c r="J41" t="s">
        <v>226</v>
      </c>
    </row>
    <row r="42" spans="1:10" x14ac:dyDescent="0.3">
      <c r="A42">
        <v>6</v>
      </c>
      <c r="B42">
        <v>3</v>
      </c>
      <c r="C42">
        <v>207857</v>
      </c>
      <c r="D42" t="s">
        <v>22</v>
      </c>
      <c r="E42" s="10">
        <v>44094</v>
      </c>
      <c r="F42" t="s">
        <v>23</v>
      </c>
      <c r="G42" t="s">
        <v>144</v>
      </c>
      <c r="H42" s="3" t="s">
        <v>73</v>
      </c>
      <c r="I42">
        <v>1.0699999999999999E-2</v>
      </c>
    </row>
    <row r="43" spans="1:10" x14ac:dyDescent="0.3">
      <c r="A43">
        <v>6</v>
      </c>
      <c r="B43">
        <v>4</v>
      </c>
      <c r="C43">
        <v>207858</v>
      </c>
      <c r="D43" t="s">
        <v>22</v>
      </c>
      <c r="E43" s="10">
        <v>44094</v>
      </c>
      <c r="F43" t="s">
        <v>23</v>
      </c>
      <c r="G43" t="s">
        <v>144</v>
      </c>
      <c r="H43" s="3" t="s">
        <v>149</v>
      </c>
      <c r="I43">
        <v>5.5999999999999999E-3</v>
      </c>
    </row>
    <row r="44" spans="1:10" x14ac:dyDescent="0.3">
      <c r="A44">
        <v>6</v>
      </c>
      <c r="B44">
        <v>5</v>
      </c>
      <c r="C44">
        <v>207859</v>
      </c>
      <c r="D44" t="s">
        <v>22</v>
      </c>
      <c r="E44" s="10">
        <v>44094</v>
      </c>
      <c r="F44" t="s">
        <v>23</v>
      </c>
      <c r="G44" t="s">
        <v>144</v>
      </c>
      <c r="H44" s="3" t="s">
        <v>54</v>
      </c>
      <c r="I44">
        <v>0</v>
      </c>
      <c r="J44" t="s">
        <v>226</v>
      </c>
    </row>
    <row r="45" spans="1:10" x14ac:dyDescent="0.3">
      <c r="A45">
        <v>6</v>
      </c>
      <c r="B45">
        <v>5</v>
      </c>
      <c r="C45">
        <v>207859</v>
      </c>
      <c r="D45" t="s">
        <v>22</v>
      </c>
      <c r="E45" s="10">
        <v>44094</v>
      </c>
      <c r="F45" t="s">
        <v>23</v>
      </c>
      <c r="G45" t="s">
        <v>144</v>
      </c>
      <c r="H45" s="3" t="s">
        <v>146</v>
      </c>
      <c r="I45">
        <v>9.4999999999999998E-3</v>
      </c>
    </row>
    <row r="46" spans="1:10" x14ac:dyDescent="0.3">
      <c r="A46">
        <v>7</v>
      </c>
      <c r="B46">
        <v>1</v>
      </c>
      <c r="C46">
        <v>207860</v>
      </c>
      <c r="D46" t="s">
        <v>22</v>
      </c>
      <c r="E46" s="10">
        <v>44094</v>
      </c>
      <c r="F46" t="s">
        <v>23</v>
      </c>
      <c r="G46" t="s">
        <v>143</v>
      </c>
      <c r="H46" s="3" t="s">
        <v>52</v>
      </c>
      <c r="I46">
        <v>1.3432999999999999</v>
      </c>
    </row>
    <row r="47" spans="1:10" x14ac:dyDescent="0.3">
      <c r="A47">
        <v>7</v>
      </c>
      <c r="B47">
        <v>1</v>
      </c>
      <c r="C47">
        <v>207860</v>
      </c>
      <c r="D47" t="s">
        <v>22</v>
      </c>
      <c r="E47" s="10">
        <v>44094</v>
      </c>
      <c r="F47" t="s">
        <v>23</v>
      </c>
      <c r="G47" t="s">
        <v>144</v>
      </c>
      <c r="H47" s="3" t="s">
        <v>80</v>
      </c>
      <c r="I47">
        <v>4.4400000000000002E-2</v>
      </c>
    </row>
    <row r="48" spans="1:10" x14ac:dyDescent="0.3">
      <c r="A48">
        <v>7</v>
      </c>
      <c r="B48">
        <v>1</v>
      </c>
      <c r="C48">
        <v>207860</v>
      </c>
      <c r="D48" t="s">
        <v>22</v>
      </c>
      <c r="E48" s="10">
        <v>44094</v>
      </c>
      <c r="F48" t="s">
        <v>23</v>
      </c>
      <c r="G48" t="s">
        <v>144</v>
      </c>
      <c r="H48" s="3" t="s">
        <v>73</v>
      </c>
      <c r="I48">
        <v>1.7299999999999999E-2</v>
      </c>
    </row>
    <row r="49" spans="1:10" x14ac:dyDescent="0.3">
      <c r="A49">
        <v>7</v>
      </c>
      <c r="B49">
        <v>2</v>
      </c>
      <c r="C49">
        <v>207861</v>
      </c>
      <c r="D49" t="s">
        <v>22</v>
      </c>
      <c r="E49" s="10">
        <v>44094</v>
      </c>
      <c r="F49" t="s">
        <v>23</v>
      </c>
      <c r="G49" t="s">
        <v>144</v>
      </c>
      <c r="H49" s="3" t="s">
        <v>87</v>
      </c>
      <c r="I49">
        <v>5.4300000000000001E-2</v>
      </c>
    </row>
    <row r="50" spans="1:10" x14ac:dyDescent="0.3">
      <c r="A50">
        <v>7</v>
      </c>
      <c r="B50">
        <v>2</v>
      </c>
      <c r="C50">
        <v>207861</v>
      </c>
      <c r="D50" t="s">
        <v>22</v>
      </c>
      <c r="E50" s="10">
        <v>44094</v>
      </c>
      <c r="F50" t="s">
        <v>23</v>
      </c>
      <c r="G50" t="s">
        <v>144</v>
      </c>
      <c r="H50" s="3" t="s">
        <v>28</v>
      </c>
      <c r="I50">
        <v>1.6500000000000001E-2</v>
      </c>
    </row>
    <row r="51" spans="1:10" x14ac:dyDescent="0.3">
      <c r="A51">
        <v>7</v>
      </c>
      <c r="B51">
        <v>3</v>
      </c>
      <c r="C51">
        <v>207862</v>
      </c>
      <c r="D51" t="s">
        <v>22</v>
      </c>
      <c r="E51" s="10">
        <v>44094</v>
      </c>
      <c r="F51" t="s">
        <v>23</v>
      </c>
      <c r="G51" t="s">
        <v>144</v>
      </c>
      <c r="H51" s="3" t="s">
        <v>72</v>
      </c>
      <c r="I51">
        <v>3.7999999999999999E-2</v>
      </c>
    </row>
    <row r="52" spans="1:10" x14ac:dyDescent="0.3">
      <c r="A52">
        <v>7</v>
      </c>
      <c r="B52">
        <v>3</v>
      </c>
      <c r="C52">
        <v>207862</v>
      </c>
      <c r="D52" t="s">
        <v>22</v>
      </c>
      <c r="E52" s="10">
        <v>44094</v>
      </c>
      <c r="F52" t="s">
        <v>23</v>
      </c>
      <c r="G52" t="s">
        <v>144</v>
      </c>
      <c r="H52" s="3" t="s">
        <v>28</v>
      </c>
      <c r="I52">
        <v>6.4000000000000003E-3</v>
      </c>
    </row>
    <row r="53" spans="1:10" x14ac:dyDescent="0.3">
      <c r="A53">
        <v>7</v>
      </c>
      <c r="B53">
        <v>4</v>
      </c>
      <c r="C53">
        <v>207863</v>
      </c>
      <c r="D53" t="s">
        <v>22</v>
      </c>
      <c r="E53" s="10">
        <v>44094</v>
      </c>
      <c r="F53" t="s">
        <v>23</v>
      </c>
      <c r="G53" t="s">
        <v>144</v>
      </c>
      <c r="H53" s="3" t="s">
        <v>48</v>
      </c>
      <c r="I53">
        <v>7.1000000000000004E-3</v>
      </c>
    </row>
    <row r="54" spans="1:10" x14ac:dyDescent="0.3">
      <c r="A54">
        <v>7</v>
      </c>
      <c r="B54">
        <v>5</v>
      </c>
      <c r="C54">
        <v>207864</v>
      </c>
      <c r="D54" t="s">
        <v>22</v>
      </c>
      <c r="E54" s="10">
        <v>44094</v>
      </c>
      <c r="F54" t="s">
        <v>23</v>
      </c>
      <c r="G54" t="s">
        <v>144</v>
      </c>
      <c r="H54" s="3" t="s">
        <v>28</v>
      </c>
      <c r="I54">
        <v>0</v>
      </c>
      <c r="J54" t="s">
        <v>236</v>
      </c>
    </row>
    <row r="55" spans="1:10" x14ac:dyDescent="0.3">
      <c r="A55">
        <v>7</v>
      </c>
      <c r="B55">
        <v>5</v>
      </c>
      <c r="C55">
        <v>207864</v>
      </c>
      <c r="D55" t="s">
        <v>22</v>
      </c>
      <c r="E55" s="10">
        <v>44094</v>
      </c>
      <c r="F55" t="s">
        <v>23</v>
      </c>
      <c r="G55" t="s">
        <v>144</v>
      </c>
      <c r="H55" s="3" t="s">
        <v>149</v>
      </c>
      <c r="I55">
        <v>6.7000000000000002E-3</v>
      </c>
    </row>
    <row r="56" spans="1:10" x14ac:dyDescent="0.3">
      <c r="A56">
        <v>9</v>
      </c>
      <c r="B56">
        <v>1</v>
      </c>
      <c r="C56">
        <v>207865</v>
      </c>
      <c r="D56" t="s">
        <v>22</v>
      </c>
      <c r="E56" s="10">
        <v>44094</v>
      </c>
      <c r="F56" t="s">
        <v>23</v>
      </c>
      <c r="G56" t="s">
        <v>144</v>
      </c>
      <c r="H56" s="3" t="s">
        <v>193</v>
      </c>
      <c r="I56">
        <v>6.0299999999999999E-2</v>
      </c>
      <c r="J56" t="s">
        <v>195</v>
      </c>
    </row>
    <row r="57" spans="1:10" x14ac:dyDescent="0.3">
      <c r="A57">
        <v>9</v>
      </c>
      <c r="B57">
        <v>2</v>
      </c>
      <c r="C57">
        <v>207866</v>
      </c>
      <c r="D57" t="s">
        <v>22</v>
      </c>
      <c r="E57" s="10">
        <v>44094</v>
      </c>
      <c r="F57" t="s">
        <v>23</v>
      </c>
      <c r="G57" t="s">
        <v>144</v>
      </c>
      <c r="H57" s="3" t="s">
        <v>196</v>
      </c>
      <c r="I57">
        <v>4.7199999999999999E-2</v>
      </c>
      <c r="J57" t="s">
        <v>195</v>
      </c>
    </row>
    <row r="58" spans="1:10" x14ac:dyDescent="0.3">
      <c r="A58">
        <v>9</v>
      </c>
      <c r="B58">
        <v>2</v>
      </c>
      <c r="C58">
        <v>207866</v>
      </c>
      <c r="D58" t="s">
        <v>22</v>
      </c>
      <c r="E58" s="10">
        <v>44094</v>
      </c>
      <c r="F58" t="s">
        <v>23</v>
      </c>
      <c r="G58" t="s">
        <v>143</v>
      </c>
      <c r="H58" s="3" t="s">
        <v>52</v>
      </c>
      <c r="I58">
        <v>0.28670000000000001</v>
      </c>
    </row>
    <row r="59" spans="1:10" x14ac:dyDescent="0.3">
      <c r="A59">
        <v>9</v>
      </c>
      <c r="B59">
        <v>3</v>
      </c>
      <c r="C59">
        <v>207867</v>
      </c>
      <c r="D59" t="s">
        <v>22</v>
      </c>
      <c r="E59" s="10">
        <v>44094</v>
      </c>
      <c r="F59" t="s">
        <v>23</v>
      </c>
      <c r="G59" t="s">
        <v>144</v>
      </c>
      <c r="H59" s="3" t="s">
        <v>54</v>
      </c>
      <c r="I59">
        <f>SUM(0.0064+0.0001)</f>
        <v>6.5000000000000006E-3</v>
      </c>
    </row>
    <row r="60" spans="1:10" x14ac:dyDescent="0.3">
      <c r="A60">
        <v>9</v>
      </c>
      <c r="B60">
        <v>4</v>
      </c>
      <c r="C60">
        <v>207868</v>
      </c>
      <c r="D60" t="s">
        <v>22</v>
      </c>
      <c r="E60" s="10">
        <v>44094</v>
      </c>
      <c r="F60" t="s">
        <v>23</v>
      </c>
      <c r="G60" t="s">
        <v>144</v>
      </c>
      <c r="H60" s="3" t="s">
        <v>155</v>
      </c>
      <c r="I60">
        <v>4.8999999999999998E-3</v>
      </c>
    </row>
    <row r="61" spans="1:10" x14ac:dyDescent="0.3">
      <c r="A61">
        <v>9</v>
      </c>
      <c r="B61">
        <v>4</v>
      </c>
      <c r="C61">
        <v>207868</v>
      </c>
      <c r="D61" t="s">
        <v>22</v>
      </c>
      <c r="E61" s="10">
        <v>44094</v>
      </c>
      <c r="F61" t="s">
        <v>23</v>
      </c>
      <c r="G61" t="s">
        <v>144</v>
      </c>
      <c r="H61" s="3" t="s">
        <v>52</v>
      </c>
      <c r="I61">
        <v>2.0000000000000001E-4</v>
      </c>
    </row>
    <row r="62" spans="1:10" x14ac:dyDescent="0.3">
      <c r="A62">
        <v>9</v>
      </c>
      <c r="B62">
        <v>5</v>
      </c>
      <c r="C62">
        <v>207869</v>
      </c>
      <c r="D62" t="s">
        <v>22</v>
      </c>
      <c r="E62" s="10">
        <v>44094</v>
      </c>
      <c r="F62" t="s">
        <v>23</v>
      </c>
      <c r="G62" t="s">
        <v>144</v>
      </c>
      <c r="H62" s="3" t="s">
        <v>28</v>
      </c>
      <c r="I62">
        <v>2.9999999999999997E-4</v>
      </c>
    </row>
    <row r="63" spans="1:10" x14ac:dyDescent="0.3">
      <c r="A63">
        <v>9</v>
      </c>
      <c r="B63">
        <v>5</v>
      </c>
      <c r="C63">
        <v>207869</v>
      </c>
      <c r="D63" t="s">
        <v>22</v>
      </c>
      <c r="E63" s="10">
        <v>44094</v>
      </c>
      <c r="F63" t="s">
        <v>23</v>
      </c>
      <c r="G63" t="s">
        <v>144</v>
      </c>
      <c r="H63" s="3" t="s">
        <v>155</v>
      </c>
      <c r="I63">
        <v>4.4000000000000003E-3</v>
      </c>
    </row>
    <row r="64" spans="1:10" x14ac:dyDescent="0.3">
      <c r="A64">
        <v>10</v>
      </c>
      <c r="B64">
        <v>5</v>
      </c>
      <c r="C64">
        <v>207870</v>
      </c>
      <c r="D64" t="s">
        <v>22</v>
      </c>
      <c r="E64" s="10">
        <v>44094</v>
      </c>
      <c r="F64" t="s">
        <v>23</v>
      </c>
      <c r="G64" t="s">
        <v>143</v>
      </c>
      <c r="H64" s="3" t="s">
        <v>52</v>
      </c>
      <c r="I64">
        <f>SUM(3.5326+0.0271+0.1039+0.0733)</f>
        <v>3.7368999999999999</v>
      </c>
    </row>
    <row r="65" spans="1:10" x14ac:dyDescent="0.3">
      <c r="A65">
        <v>10</v>
      </c>
      <c r="B65">
        <v>5</v>
      </c>
      <c r="C65">
        <v>207870</v>
      </c>
      <c r="D65" t="s">
        <v>22</v>
      </c>
      <c r="E65" s="10">
        <v>44094</v>
      </c>
      <c r="F65" t="s">
        <v>23</v>
      </c>
      <c r="G65" t="s">
        <v>144</v>
      </c>
      <c r="H65" s="3" t="s">
        <v>52</v>
      </c>
      <c r="I65">
        <v>3.5000000000000001E-3</v>
      </c>
    </row>
    <row r="66" spans="1:10" x14ac:dyDescent="0.3">
      <c r="A66">
        <v>10</v>
      </c>
      <c r="B66">
        <v>5</v>
      </c>
      <c r="C66">
        <v>207870</v>
      </c>
      <c r="D66" t="s">
        <v>22</v>
      </c>
      <c r="E66" s="10">
        <v>44094</v>
      </c>
      <c r="F66" t="s">
        <v>23</v>
      </c>
      <c r="G66" t="s">
        <v>144</v>
      </c>
      <c r="H66" s="3" t="s">
        <v>162</v>
      </c>
      <c r="I66">
        <v>2.0500000000000001E-2</v>
      </c>
    </row>
    <row r="67" spans="1:10" x14ac:dyDescent="0.3">
      <c r="A67">
        <v>10</v>
      </c>
      <c r="B67">
        <v>5</v>
      </c>
      <c r="C67">
        <v>207870</v>
      </c>
      <c r="D67" t="s">
        <v>22</v>
      </c>
      <c r="E67" s="10">
        <v>44094</v>
      </c>
      <c r="F67" t="s">
        <v>23</v>
      </c>
      <c r="G67" t="s">
        <v>144</v>
      </c>
      <c r="H67" s="3" t="s">
        <v>155</v>
      </c>
      <c r="I67">
        <v>4.3499999999999997E-2</v>
      </c>
    </row>
    <row r="68" spans="1:10" x14ac:dyDescent="0.3">
      <c r="A68">
        <v>11</v>
      </c>
      <c r="B68">
        <v>1</v>
      </c>
      <c r="C68">
        <v>207871</v>
      </c>
      <c r="D68" t="s">
        <v>58</v>
      </c>
      <c r="E68" s="10">
        <v>44095</v>
      </c>
      <c r="F68" t="s">
        <v>23</v>
      </c>
      <c r="G68" t="s">
        <v>268</v>
      </c>
      <c r="H68" s="3" t="s">
        <v>126</v>
      </c>
      <c r="I68" t="s">
        <v>126</v>
      </c>
      <c r="J68" t="s">
        <v>269</v>
      </c>
    </row>
    <row r="69" spans="1:10" x14ac:dyDescent="0.3">
      <c r="A69">
        <v>11</v>
      </c>
      <c r="B69">
        <v>2</v>
      </c>
      <c r="C69">
        <v>207872</v>
      </c>
      <c r="D69" t="s">
        <v>58</v>
      </c>
      <c r="E69" s="10">
        <v>44095</v>
      </c>
      <c r="F69" t="s">
        <v>23</v>
      </c>
      <c r="G69" t="s">
        <v>143</v>
      </c>
      <c r="H69" s="3" t="s">
        <v>52</v>
      </c>
      <c r="I69">
        <v>6.8500000000000005E-2</v>
      </c>
    </row>
    <row r="70" spans="1:10" x14ac:dyDescent="0.3">
      <c r="A70">
        <v>11</v>
      </c>
      <c r="B70">
        <v>2</v>
      </c>
      <c r="C70">
        <v>207872</v>
      </c>
      <c r="D70" t="s">
        <v>58</v>
      </c>
      <c r="E70" s="10">
        <v>44095</v>
      </c>
      <c r="F70" t="s">
        <v>23</v>
      </c>
      <c r="G70" t="s">
        <v>144</v>
      </c>
      <c r="H70" s="3" t="s">
        <v>75</v>
      </c>
      <c r="I70">
        <v>8.09E-2</v>
      </c>
    </row>
    <row r="71" spans="1:10" x14ac:dyDescent="0.3">
      <c r="A71">
        <v>11</v>
      </c>
      <c r="B71">
        <v>3</v>
      </c>
      <c r="C71">
        <v>207873</v>
      </c>
      <c r="D71" t="s">
        <v>58</v>
      </c>
      <c r="E71" s="10">
        <v>44095</v>
      </c>
      <c r="F71" t="s">
        <v>23</v>
      </c>
      <c r="G71" t="s">
        <v>144</v>
      </c>
      <c r="H71" s="3" t="s">
        <v>68</v>
      </c>
      <c r="I71">
        <v>4.5199999999999997E-2</v>
      </c>
    </row>
    <row r="72" spans="1:10" x14ac:dyDescent="0.3">
      <c r="A72">
        <v>11</v>
      </c>
      <c r="B72">
        <v>3</v>
      </c>
      <c r="C72">
        <v>207873</v>
      </c>
      <c r="D72" t="s">
        <v>58</v>
      </c>
      <c r="E72" s="10">
        <v>44095</v>
      </c>
      <c r="F72" t="s">
        <v>23</v>
      </c>
      <c r="G72" t="s">
        <v>144</v>
      </c>
      <c r="H72" s="3" t="s">
        <v>28</v>
      </c>
      <c r="I72">
        <v>4.7999999999999996E-3</v>
      </c>
    </row>
    <row r="73" spans="1:10" x14ac:dyDescent="0.3">
      <c r="A73">
        <v>11</v>
      </c>
      <c r="B73">
        <v>4</v>
      </c>
      <c r="C73">
        <v>207874</v>
      </c>
      <c r="D73" t="s">
        <v>58</v>
      </c>
      <c r="E73" s="10">
        <v>44095</v>
      </c>
      <c r="F73" t="s">
        <v>23</v>
      </c>
      <c r="G73" t="s">
        <v>144</v>
      </c>
      <c r="H73" s="3" t="s">
        <v>169</v>
      </c>
      <c r="I73">
        <v>3.5299999999999998E-2</v>
      </c>
    </row>
    <row r="74" spans="1:10" x14ac:dyDescent="0.3">
      <c r="A74">
        <v>11</v>
      </c>
      <c r="B74">
        <v>4</v>
      </c>
      <c r="C74">
        <v>207874</v>
      </c>
      <c r="D74" t="s">
        <v>58</v>
      </c>
      <c r="E74" s="10">
        <v>44095</v>
      </c>
      <c r="F74" t="s">
        <v>23</v>
      </c>
      <c r="G74" t="s">
        <v>144</v>
      </c>
      <c r="H74" s="3" t="s">
        <v>77</v>
      </c>
      <c r="I74">
        <v>1.34E-2</v>
      </c>
    </row>
    <row r="75" spans="1:10" x14ac:dyDescent="0.3">
      <c r="A75">
        <v>11</v>
      </c>
      <c r="B75">
        <v>5</v>
      </c>
      <c r="C75">
        <v>207875</v>
      </c>
      <c r="D75" t="s">
        <v>58</v>
      </c>
      <c r="E75" s="10">
        <v>44095</v>
      </c>
      <c r="F75" t="s">
        <v>23</v>
      </c>
      <c r="G75" t="s">
        <v>143</v>
      </c>
      <c r="H75" s="3" t="s">
        <v>52</v>
      </c>
      <c r="I75">
        <v>9.9500000000000005E-2</v>
      </c>
    </row>
    <row r="76" spans="1:10" x14ac:dyDescent="0.3">
      <c r="A76">
        <v>11</v>
      </c>
      <c r="B76">
        <v>5</v>
      </c>
      <c r="C76">
        <v>207875</v>
      </c>
      <c r="D76" t="s">
        <v>58</v>
      </c>
      <c r="E76" s="10">
        <v>44095</v>
      </c>
      <c r="F76" t="s">
        <v>23</v>
      </c>
      <c r="G76" t="s">
        <v>144</v>
      </c>
      <c r="H76" s="3" t="s">
        <v>24</v>
      </c>
      <c r="I76">
        <v>2.3199999999999998E-2</v>
      </c>
    </row>
    <row r="77" spans="1:10" x14ac:dyDescent="0.3">
      <c r="A77">
        <v>11</v>
      </c>
      <c r="B77">
        <v>5</v>
      </c>
      <c r="C77">
        <v>207875</v>
      </c>
      <c r="D77" t="s">
        <v>58</v>
      </c>
      <c r="E77" s="10">
        <v>44095</v>
      </c>
      <c r="F77" t="s">
        <v>23</v>
      </c>
      <c r="G77" t="s">
        <v>144</v>
      </c>
      <c r="H77" s="3" t="s">
        <v>104</v>
      </c>
      <c r="I77">
        <v>4.1000000000000003E-3</v>
      </c>
    </row>
    <row r="78" spans="1:10" x14ac:dyDescent="0.3">
      <c r="A78">
        <v>13</v>
      </c>
      <c r="B78">
        <v>1</v>
      </c>
      <c r="C78">
        <v>207876</v>
      </c>
      <c r="D78" t="s">
        <v>58</v>
      </c>
      <c r="E78" s="10">
        <v>44095</v>
      </c>
      <c r="F78" t="s">
        <v>23</v>
      </c>
      <c r="G78" t="s">
        <v>143</v>
      </c>
      <c r="H78" s="3" t="s">
        <v>200</v>
      </c>
      <c r="I78">
        <v>0.30599999999999999</v>
      </c>
      <c r="J78" t="s">
        <v>199</v>
      </c>
    </row>
    <row r="79" spans="1:10" x14ac:dyDescent="0.3">
      <c r="A79">
        <v>13</v>
      </c>
      <c r="B79">
        <v>1</v>
      </c>
      <c r="C79">
        <v>207876</v>
      </c>
      <c r="D79" t="s">
        <v>58</v>
      </c>
      <c r="E79" s="10">
        <v>44095</v>
      </c>
      <c r="F79" t="s">
        <v>23</v>
      </c>
      <c r="G79" t="s">
        <v>143</v>
      </c>
      <c r="H79" s="3" t="s">
        <v>200</v>
      </c>
      <c r="I79">
        <v>1.2228000000000001</v>
      </c>
      <c r="J79" t="s">
        <v>199</v>
      </c>
    </row>
    <row r="80" spans="1:10" x14ac:dyDescent="0.3">
      <c r="A80">
        <v>13</v>
      </c>
      <c r="B80">
        <v>1</v>
      </c>
      <c r="C80">
        <v>207876</v>
      </c>
      <c r="D80" t="s">
        <v>58</v>
      </c>
      <c r="E80" s="10">
        <v>44095</v>
      </c>
      <c r="F80" t="s">
        <v>23</v>
      </c>
      <c r="G80" t="s">
        <v>144</v>
      </c>
      <c r="H80" s="3" t="s">
        <v>197</v>
      </c>
      <c r="I80">
        <v>0.1308</v>
      </c>
      <c r="J80" t="s">
        <v>198</v>
      </c>
    </row>
    <row r="81" spans="1:10" x14ac:dyDescent="0.3">
      <c r="A81">
        <v>13</v>
      </c>
      <c r="B81">
        <v>2</v>
      </c>
      <c r="C81">
        <v>207877</v>
      </c>
      <c r="D81" t="s">
        <v>58</v>
      </c>
      <c r="E81" s="10">
        <v>44095</v>
      </c>
      <c r="F81" t="s">
        <v>23</v>
      </c>
      <c r="G81" t="s">
        <v>144</v>
      </c>
      <c r="H81" s="3" t="s">
        <v>28</v>
      </c>
      <c r="I81">
        <v>9.7100000000000006E-2</v>
      </c>
    </row>
    <row r="82" spans="1:10" x14ac:dyDescent="0.3">
      <c r="A82">
        <v>13</v>
      </c>
      <c r="B82">
        <v>3</v>
      </c>
      <c r="C82">
        <v>207878</v>
      </c>
      <c r="D82" t="s">
        <v>58</v>
      </c>
      <c r="E82" s="10">
        <v>44095</v>
      </c>
      <c r="F82" t="s">
        <v>23</v>
      </c>
      <c r="G82" t="s">
        <v>144</v>
      </c>
      <c r="H82" s="3" t="s">
        <v>201</v>
      </c>
      <c r="I82">
        <v>5.0299999999999997E-2</v>
      </c>
    </row>
    <row r="83" spans="1:10" x14ac:dyDescent="0.3">
      <c r="A83">
        <v>13</v>
      </c>
      <c r="B83">
        <v>4</v>
      </c>
      <c r="C83">
        <v>207879</v>
      </c>
      <c r="D83" t="s">
        <v>58</v>
      </c>
      <c r="E83" s="10">
        <v>44095</v>
      </c>
      <c r="F83" t="s">
        <v>23</v>
      </c>
      <c r="G83" t="s">
        <v>144</v>
      </c>
      <c r="H83" s="3" t="s">
        <v>202</v>
      </c>
      <c r="I83">
        <v>4.3099999999999999E-2</v>
      </c>
    </row>
    <row r="84" spans="1:10" x14ac:dyDescent="0.3">
      <c r="A84">
        <v>13</v>
      </c>
      <c r="B84">
        <v>5</v>
      </c>
      <c r="C84">
        <v>207880</v>
      </c>
      <c r="D84" t="s">
        <v>58</v>
      </c>
      <c r="E84" s="10">
        <v>44095</v>
      </c>
      <c r="F84" t="s">
        <v>23</v>
      </c>
      <c r="G84" t="s">
        <v>144</v>
      </c>
      <c r="H84" s="3" t="s">
        <v>203</v>
      </c>
      <c r="I84">
        <v>2.3400000000000001E-2</v>
      </c>
    </row>
    <row r="85" spans="1:10" x14ac:dyDescent="0.3">
      <c r="A85">
        <v>14</v>
      </c>
      <c r="B85">
        <v>1</v>
      </c>
      <c r="C85">
        <v>207881</v>
      </c>
      <c r="D85" t="s">
        <v>58</v>
      </c>
      <c r="E85" s="10">
        <v>44095</v>
      </c>
      <c r="F85" t="s">
        <v>23</v>
      </c>
      <c r="G85" t="s">
        <v>143</v>
      </c>
      <c r="H85" s="3" t="s">
        <v>52</v>
      </c>
      <c r="I85">
        <v>0.16059999999999999</v>
      </c>
      <c r="J85" t="s">
        <v>204</v>
      </c>
    </row>
    <row r="86" spans="1:10" x14ac:dyDescent="0.3">
      <c r="A86">
        <v>14</v>
      </c>
      <c r="B86">
        <v>1</v>
      </c>
      <c r="C86">
        <v>207881</v>
      </c>
      <c r="D86" t="s">
        <v>58</v>
      </c>
      <c r="E86" s="10">
        <v>44095</v>
      </c>
      <c r="F86" t="s">
        <v>23</v>
      </c>
      <c r="G86" t="s">
        <v>144</v>
      </c>
      <c r="H86" s="3" t="s">
        <v>77</v>
      </c>
      <c r="I86">
        <v>0.1638</v>
      </c>
    </row>
    <row r="87" spans="1:10" x14ac:dyDescent="0.3">
      <c r="A87">
        <v>14</v>
      </c>
      <c r="B87">
        <v>2</v>
      </c>
      <c r="C87">
        <v>207882</v>
      </c>
      <c r="D87" t="s">
        <v>58</v>
      </c>
      <c r="E87" s="10">
        <v>44095</v>
      </c>
      <c r="F87" t="s">
        <v>23</v>
      </c>
      <c r="G87" t="s">
        <v>143</v>
      </c>
      <c r="H87" s="3" t="s">
        <v>52</v>
      </c>
      <c r="I87">
        <v>0.1089</v>
      </c>
    </row>
    <row r="88" spans="1:10" x14ac:dyDescent="0.3">
      <c r="A88">
        <v>14</v>
      </c>
      <c r="B88">
        <v>2</v>
      </c>
      <c r="C88">
        <v>207882</v>
      </c>
      <c r="D88" t="s">
        <v>58</v>
      </c>
      <c r="E88" s="10">
        <v>44095</v>
      </c>
      <c r="F88" t="s">
        <v>23</v>
      </c>
      <c r="G88" t="s">
        <v>144</v>
      </c>
      <c r="H88" s="3" t="s">
        <v>205</v>
      </c>
      <c r="I88">
        <v>4.1399999999999999E-2</v>
      </c>
    </row>
    <row r="89" spans="1:10" x14ac:dyDescent="0.3">
      <c r="A89">
        <v>14</v>
      </c>
      <c r="B89">
        <v>3</v>
      </c>
      <c r="C89">
        <v>207701</v>
      </c>
      <c r="D89" t="s">
        <v>58</v>
      </c>
      <c r="E89" s="10">
        <v>44095</v>
      </c>
      <c r="F89" t="s">
        <v>23</v>
      </c>
      <c r="G89" t="s">
        <v>144</v>
      </c>
      <c r="H89" s="3" t="s">
        <v>206</v>
      </c>
      <c r="I89">
        <f>SUM(0.0294+0.0018)</f>
        <v>3.1199999999999999E-2</v>
      </c>
    </row>
    <row r="90" spans="1:10" x14ac:dyDescent="0.3">
      <c r="A90">
        <v>14</v>
      </c>
      <c r="B90">
        <v>4</v>
      </c>
      <c r="C90">
        <v>207702</v>
      </c>
      <c r="D90" t="s">
        <v>58</v>
      </c>
      <c r="E90" s="10">
        <v>44095</v>
      </c>
      <c r="F90" t="s">
        <v>23</v>
      </c>
      <c r="G90" t="s">
        <v>144</v>
      </c>
      <c r="H90" s="3" t="s">
        <v>207</v>
      </c>
      <c r="I90">
        <v>3.2399999999999998E-2</v>
      </c>
    </row>
    <row r="91" spans="1:10" x14ac:dyDescent="0.3">
      <c r="A91">
        <v>14</v>
      </c>
      <c r="B91">
        <v>5</v>
      </c>
      <c r="C91">
        <v>207703</v>
      </c>
      <c r="D91" t="s">
        <v>58</v>
      </c>
      <c r="E91" s="10">
        <v>44095</v>
      </c>
      <c r="F91" t="s">
        <v>23</v>
      </c>
      <c r="G91" t="s">
        <v>144</v>
      </c>
      <c r="H91" s="3" t="s">
        <v>126</v>
      </c>
      <c r="I91" t="s">
        <v>126</v>
      </c>
    </row>
    <row r="92" spans="1:10" x14ac:dyDescent="0.3">
      <c r="A92">
        <v>15</v>
      </c>
      <c r="B92">
        <v>1</v>
      </c>
      <c r="C92">
        <v>207704</v>
      </c>
      <c r="D92" t="s">
        <v>58</v>
      </c>
      <c r="E92" s="10">
        <v>44098</v>
      </c>
      <c r="F92" t="s">
        <v>23</v>
      </c>
      <c r="G92" t="s">
        <v>143</v>
      </c>
      <c r="H92" s="3" t="s">
        <v>208</v>
      </c>
      <c r="I92">
        <v>0.13170000000000001</v>
      </c>
    </row>
    <row r="93" spans="1:10" x14ac:dyDescent="0.3">
      <c r="A93">
        <v>15</v>
      </c>
      <c r="B93">
        <v>1</v>
      </c>
      <c r="C93">
        <v>207704</v>
      </c>
      <c r="D93" t="s">
        <v>58</v>
      </c>
      <c r="E93" s="10">
        <v>44098</v>
      </c>
      <c r="F93" t="s">
        <v>23</v>
      </c>
      <c r="G93" t="s">
        <v>143</v>
      </c>
      <c r="H93" s="3" t="s">
        <v>52</v>
      </c>
      <c r="I93">
        <v>0.81210000000000004</v>
      </c>
    </row>
    <row r="94" spans="1:10" x14ac:dyDescent="0.3">
      <c r="A94">
        <v>15</v>
      </c>
      <c r="B94">
        <v>1</v>
      </c>
      <c r="C94">
        <v>207704</v>
      </c>
      <c r="D94" t="s">
        <v>58</v>
      </c>
      <c r="E94" s="10">
        <v>44098</v>
      </c>
      <c r="F94" t="s">
        <v>23</v>
      </c>
      <c r="G94" t="s">
        <v>143</v>
      </c>
      <c r="H94" s="3" t="s">
        <v>208</v>
      </c>
      <c r="I94">
        <v>1.5054000000000001</v>
      </c>
    </row>
    <row r="95" spans="1:10" x14ac:dyDescent="0.3">
      <c r="A95">
        <v>15</v>
      </c>
      <c r="B95">
        <v>1</v>
      </c>
      <c r="C95">
        <v>207704</v>
      </c>
      <c r="D95" t="s">
        <v>58</v>
      </c>
      <c r="E95" s="10">
        <v>44098</v>
      </c>
      <c r="F95" t="s">
        <v>23</v>
      </c>
      <c r="G95" t="s">
        <v>143</v>
      </c>
      <c r="H95" s="3" t="s">
        <v>52</v>
      </c>
      <c r="I95">
        <v>10.886799999999999</v>
      </c>
      <c r="J95" t="s">
        <v>209</v>
      </c>
    </row>
    <row r="96" spans="1:10" x14ac:dyDescent="0.3">
      <c r="A96">
        <v>15</v>
      </c>
      <c r="B96">
        <v>1</v>
      </c>
      <c r="C96">
        <v>207704</v>
      </c>
      <c r="D96" t="s">
        <v>58</v>
      </c>
      <c r="E96" s="10">
        <v>44098</v>
      </c>
      <c r="F96" t="s">
        <v>23</v>
      </c>
      <c r="G96" t="s">
        <v>144</v>
      </c>
      <c r="H96" s="3" t="s">
        <v>54</v>
      </c>
      <c r="I96">
        <v>2.5000000000000001E-3</v>
      </c>
    </row>
    <row r="97" spans="1:9" x14ac:dyDescent="0.3">
      <c r="A97">
        <v>15</v>
      </c>
      <c r="B97">
        <v>1</v>
      </c>
      <c r="C97">
        <v>207704</v>
      </c>
      <c r="D97" t="s">
        <v>58</v>
      </c>
      <c r="E97" s="10">
        <v>44098</v>
      </c>
      <c r="F97" t="s">
        <v>23</v>
      </c>
      <c r="G97" t="s">
        <v>144</v>
      </c>
      <c r="H97" s="3" t="s">
        <v>210</v>
      </c>
      <c r="I97">
        <v>0.1008</v>
      </c>
    </row>
    <row r="98" spans="1:9" x14ac:dyDescent="0.3">
      <c r="A98">
        <v>15</v>
      </c>
      <c r="B98">
        <v>1</v>
      </c>
      <c r="C98">
        <v>207704</v>
      </c>
      <c r="D98" t="s">
        <v>58</v>
      </c>
      <c r="E98" s="10">
        <v>44098</v>
      </c>
      <c r="F98" t="s">
        <v>23</v>
      </c>
      <c r="G98" t="s">
        <v>144</v>
      </c>
      <c r="H98" s="3" t="s">
        <v>210</v>
      </c>
      <c r="I98">
        <v>5.8999999999999997E-2</v>
      </c>
    </row>
    <row r="99" spans="1:9" x14ac:dyDescent="0.3">
      <c r="A99">
        <v>15</v>
      </c>
      <c r="B99">
        <v>2</v>
      </c>
      <c r="C99">
        <v>207705</v>
      </c>
      <c r="D99" t="s">
        <v>58</v>
      </c>
      <c r="E99" s="10">
        <v>44098</v>
      </c>
      <c r="F99" t="s">
        <v>23</v>
      </c>
      <c r="G99" t="s">
        <v>144</v>
      </c>
      <c r="H99" s="3" t="s">
        <v>28</v>
      </c>
      <c r="I99">
        <v>9.3299999999999994E-2</v>
      </c>
    </row>
    <row r="100" spans="1:9" x14ac:dyDescent="0.3">
      <c r="A100">
        <v>15</v>
      </c>
      <c r="B100">
        <v>2</v>
      </c>
      <c r="C100">
        <v>207705</v>
      </c>
      <c r="D100" t="s">
        <v>58</v>
      </c>
      <c r="E100" s="10">
        <v>44098</v>
      </c>
      <c r="F100" t="s">
        <v>23</v>
      </c>
      <c r="G100" t="s">
        <v>143</v>
      </c>
      <c r="H100" s="3" t="s">
        <v>52</v>
      </c>
      <c r="I100">
        <v>0.2787</v>
      </c>
    </row>
    <row r="101" spans="1:9" x14ac:dyDescent="0.3">
      <c r="A101">
        <v>15</v>
      </c>
      <c r="B101">
        <v>3</v>
      </c>
      <c r="C101">
        <v>207706</v>
      </c>
      <c r="D101" t="s">
        <v>58</v>
      </c>
      <c r="E101" s="10">
        <v>44098</v>
      </c>
      <c r="F101" t="s">
        <v>23</v>
      </c>
      <c r="G101" t="s">
        <v>144</v>
      </c>
      <c r="H101" s="3" t="s">
        <v>211</v>
      </c>
      <c r="I101">
        <v>4.0099999999999997E-2</v>
      </c>
    </row>
    <row r="102" spans="1:9" x14ac:dyDescent="0.3">
      <c r="A102">
        <v>15</v>
      </c>
      <c r="B102">
        <v>4</v>
      </c>
      <c r="C102">
        <v>207707</v>
      </c>
      <c r="D102" t="s">
        <v>58</v>
      </c>
      <c r="E102" s="10">
        <v>44098</v>
      </c>
      <c r="F102" t="s">
        <v>23</v>
      </c>
      <c r="G102" t="s">
        <v>144</v>
      </c>
      <c r="H102" s="3" t="s">
        <v>202</v>
      </c>
      <c r="I102">
        <v>5.5E-2</v>
      </c>
    </row>
    <row r="103" spans="1:9" x14ac:dyDescent="0.3">
      <c r="A103">
        <v>15</v>
      </c>
      <c r="B103">
        <v>5</v>
      </c>
      <c r="C103">
        <v>207708</v>
      </c>
      <c r="D103" t="s">
        <v>58</v>
      </c>
      <c r="E103" s="10">
        <v>44098</v>
      </c>
      <c r="F103" t="s">
        <v>23</v>
      </c>
      <c r="G103" t="s">
        <v>144</v>
      </c>
      <c r="H103" s="3" t="s">
        <v>251</v>
      </c>
      <c r="I103">
        <v>3.6600000000000001E-2</v>
      </c>
    </row>
    <row r="104" spans="1:9" x14ac:dyDescent="0.3">
      <c r="A104">
        <v>16</v>
      </c>
      <c r="B104">
        <v>1</v>
      </c>
      <c r="C104">
        <v>207709</v>
      </c>
      <c r="D104" s="20" t="s">
        <v>58</v>
      </c>
      <c r="E104" s="10">
        <v>44098</v>
      </c>
      <c r="F104" s="20" t="s">
        <v>23</v>
      </c>
      <c r="G104" s="20" t="s">
        <v>143</v>
      </c>
      <c r="H104" s="3" t="s">
        <v>52</v>
      </c>
      <c r="I104">
        <f>SUM(0.4969+4.61)</f>
        <v>5.1069000000000004</v>
      </c>
    </row>
    <row r="105" spans="1:9" x14ac:dyDescent="0.3">
      <c r="A105">
        <v>16</v>
      </c>
      <c r="B105">
        <v>1</v>
      </c>
      <c r="C105">
        <v>207709</v>
      </c>
      <c r="D105" s="20" t="s">
        <v>58</v>
      </c>
      <c r="E105" s="10">
        <v>44098</v>
      </c>
      <c r="F105" s="20" t="s">
        <v>23</v>
      </c>
      <c r="G105" s="20" t="s">
        <v>144</v>
      </c>
      <c r="H105" s="3" t="s">
        <v>197</v>
      </c>
      <c r="I105">
        <v>0.26090000000000002</v>
      </c>
    </row>
    <row r="106" spans="1:9" x14ac:dyDescent="0.3">
      <c r="A106">
        <v>16</v>
      </c>
      <c r="B106">
        <v>2</v>
      </c>
      <c r="C106">
        <v>207710</v>
      </c>
      <c r="D106" s="20" t="s">
        <v>58</v>
      </c>
      <c r="E106" s="10">
        <v>44098</v>
      </c>
      <c r="F106" s="20" t="s">
        <v>23</v>
      </c>
      <c r="G106" s="20" t="s">
        <v>143</v>
      </c>
      <c r="H106" s="3" t="s">
        <v>52</v>
      </c>
      <c r="I106">
        <f>SUM(0.8816+0.6574)</f>
        <v>1.5390000000000001</v>
      </c>
    </row>
    <row r="107" spans="1:9" x14ac:dyDescent="0.3">
      <c r="A107">
        <v>16</v>
      </c>
      <c r="B107">
        <v>2</v>
      </c>
      <c r="C107">
        <v>207710</v>
      </c>
      <c r="D107" s="20" t="s">
        <v>58</v>
      </c>
      <c r="E107" s="10">
        <v>44098</v>
      </c>
      <c r="F107" s="20" t="s">
        <v>23</v>
      </c>
      <c r="G107" s="20" t="s">
        <v>144</v>
      </c>
      <c r="H107" s="3" t="s">
        <v>212</v>
      </c>
      <c r="I107">
        <v>0.13689999999999999</v>
      </c>
    </row>
    <row r="108" spans="1:9" x14ac:dyDescent="0.3">
      <c r="A108">
        <v>16</v>
      </c>
      <c r="B108">
        <v>3</v>
      </c>
      <c r="C108">
        <v>207711</v>
      </c>
      <c r="D108" s="20" t="s">
        <v>58</v>
      </c>
      <c r="E108" s="10">
        <v>44098</v>
      </c>
      <c r="F108" s="20" t="s">
        <v>23</v>
      </c>
      <c r="G108" s="20" t="s">
        <v>143</v>
      </c>
      <c r="H108" s="3" t="s">
        <v>52</v>
      </c>
      <c r="I108">
        <f>0.0484+0.7437</f>
        <v>0.79210000000000003</v>
      </c>
    </row>
    <row r="109" spans="1:9" x14ac:dyDescent="0.3">
      <c r="A109">
        <v>16</v>
      </c>
      <c r="B109">
        <v>3</v>
      </c>
      <c r="C109">
        <v>207711</v>
      </c>
      <c r="D109" s="20" t="s">
        <v>58</v>
      </c>
      <c r="E109" s="10">
        <v>44098</v>
      </c>
      <c r="F109" s="20" t="s">
        <v>23</v>
      </c>
      <c r="G109" s="20" t="s">
        <v>143</v>
      </c>
      <c r="H109" s="3" t="s">
        <v>48</v>
      </c>
      <c r="I109">
        <v>1.0999999999999999E-2</v>
      </c>
    </row>
    <row r="110" spans="1:9" x14ac:dyDescent="0.3">
      <c r="A110">
        <v>16</v>
      </c>
      <c r="B110">
        <v>3</v>
      </c>
      <c r="C110">
        <v>207711</v>
      </c>
      <c r="D110" s="20" t="s">
        <v>58</v>
      </c>
      <c r="E110" s="10">
        <v>44098</v>
      </c>
      <c r="F110" s="20" t="s">
        <v>23</v>
      </c>
      <c r="G110" s="20" t="s">
        <v>144</v>
      </c>
      <c r="H110" s="3" t="s">
        <v>48</v>
      </c>
      <c r="I110">
        <v>0.1239</v>
      </c>
    </row>
    <row r="111" spans="1:9" x14ac:dyDescent="0.3">
      <c r="A111">
        <v>16</v>
      </c>
      <c r="B111">
        <v>4</v>
      </c>
      <c r="C111">
        <v>207712</v>
      </c>
      <c r="D111" s="20" t="s">
        <v>58</v>
      </c>
      <c r="E111" s="10">
        <v>44098</v>
      </c>
      <c r="F111" s="20" t="s">
        <v>23</v>
      </c>
      <c r="G111" s="20" t="s">
        <v>144</v>
      </c>
      <c r="H111" s="3" t="s">
        <v>213</v>
      </c>
      <c r="I111">
        <v>4.3700000000000003E-2</v>
      </c>
    </row>
    <row r="112" spans="1:9" x14ac:dyDescent="0.3">
      <c r="A112">
        <v>16</v>
      </c>
      <c r="B112">
        <v>4</v>
      </c>
      <c r="C112">
        <v>207712</v>
      </c>
      <c r="D112" s="20" t="s">
        <v>58</v>
      </c>
      <c r="E112" s="10">
        <v>44098</v>
      </c>
      <c r="F112" s="20" t="s">
        <v>23</v>
      </c>
      <c r="G112" s="20" t="s">
        <v>143</v>
      </c>
      <c r="H112" s="3" t="s">
        <v>52</v>
      </c>
      <c r="I112">
        <v>3.79</v>
      </c>
    </row>
    <row r="113" spans="1:9" x14ac:dyDescent="0.3">
      <c r="A113">
        <v>16</v>
      </c>
      <c r="B113">
        <v>5</v>
      </c>
      <c r="C113">
        <v>207713</v>
      </c>
      <c r="D113" s="20" t="s">
        <v>58</v>
      </c>
      <c r="E113" s="10">
        <v>44098</v>
      </c>
      <c r="F113" s="20" t="s">
        <v>23</v>
      </c>
      <c r="G113" s="20" t="s">
        <v>144</v>
      </c>
      <c r="H113" s="3" t="s">
        <v>214</v>
      </c>
      <c r="I113">
        <v>4.5999999999999999E-2</v>
      </c>
    </row>
    <row r="114" spans="1:9" x14ac:dyDescent="0.3">
      <c r="A114">
        <v>17</v>
      </c>
      <c r="B114">
        <v>1</v>
      </c>
      <c r="C114">
        <v>207714</v>
      </c>
      <c r="D114" s="20" t="s">
        <v>58</v>
      </c>
      <c r="E114" s="10">
        <v>44098</v>
      </c>
      <c r="F114" s="20" t="s">
        <v>23</v>
      </c>
      <c r="G114" s="20" t="s">
        <v>143</v>
      </c>
      <c r="H114" s="3" t="s">
        <v>52</v>
      </c>
      <c r="I114">
        <f>SUM(0.567+0.4868)</f>
        <v>1.0537999999999998</v>
      </c>
    </row>
    <row r="115" spans="1:9" x14ac:dyDescent="0.3">
      <c r="A115">
        <v>17</v>
      </c>
      <c r="B115">
        <v>1</v>
      </c>
      <c r="C115">
        <v>207714</v>
      </c>
      <c r="D115" s="20" t="s">
        <v>58</v>
      </c>
      <c r="E115" s="10">
        <v>44098</v>
      </c>
      <c r="F115" s="20" t="s">
        <v>23</v>
      </c>
      <c r="G115" s="20" t="s">
        <v>144</v>
      </c>
      <c r="H115" s="3" t="s">
        <v>215</v>
      </c>
      <c r="I115">
        <v>0.16869999999999999</v>
      </c>
    </row>
    <row r="116" spans="1:9" x14ac:dyDescent="0.3">
      <c r="A116">
        <v>17</v>
      </c>
      <c r="B116">
        <v>2</v>
      </c>
      <c r="C116">
        <v>207715</v>
      </c>
      <c r="D116" s="20" t="s">
        <v>58</v>
      </c>
      <c r="E116" s="10">
        <v>44098</v>
      </c>
      <c r="F116" s="20" t="s">
        <v>23</v>
      </c>
      <c r="G116" s="20" t="s">
        <v>144</v>
      </c>
      <c r="H116" s="3" t="s">
        <v>28</v>
      </c>
      <c r="I116">
        <v>0.12920000000000001</v>
      </c>
    </row>
    <row r="117" spans="1:9" x14ac:dyDescent="0.3">
      <c r="A117">
        <v>17</v>
      </c>
      <c r="B117">
        <v>2</v>
      </c>
      <c r="C117">
        <v>207715</v>
      </c>
      <c r="D117" s="20" t="s">
        <v>58</v>
      </c>
      <c r="E117" s="10">
        <v>44098</v>
      </c>
      <c r="F117" s="20" t="s">
        <v>23</v>
      </c>
      <c r="G117" s="20" t="s">
        <v>143</v>
      </c>
      <c r="H117" s="3" t="s">
        <v>52</v>
      </c>
      <c r="I117">
        <v>0.37030000000000002</v>
      </c>
    </row>
    <row r="118" spans="1:9" x14ac:dyDescent="0.3">
      <c r="A118">
        <v>17</v>
      </c>
      <c r="B118">
        <v>3</v>
      </c>
      <c r="C118">
        <v>207716</v>
      </c>
      <c r="D118" s="20" t="s">
        <v>58</v>
      </c>
      <c r="E118" s="10">
        <v>44098</v>
      </c>
      <c r="F118" s="20" t="s">
        <v>23</v>
      </c>
      <c r="G118" s="20" t="s">
        <v>144</v>
      </c>
      <c r="H118" s="3" t="s">
        <v>80</v>
      </c>
      <c r="I118">
        <f>SUM(0.0739+0.0011)</f>
        <v>7.4999999999999997E-2</v>
      </c>
    </row>
    <row r="119" spans="1:9" x14ac:dyDescent="0.3">
      <c r="A119">
        <v>17</v>
      </c>
      <c r="B119">
        <v>4</v>
      </c>
      <c r="C119">
        <v>207717</v>
      </c>
      <c r="D119" s="20" t="s">
        <v>58</v>
      </c>
      <c r="E119" s="10">
        <v>44098</v>
      </c>
      <c r="F119" s="20" t="s">
        <v>23</v>
      </c>
      <c r="G119" s="20" t="s">
        <v>144</v>
      </c>
      <c r="H119" s="3" t="s">
        <v>216</v>
      </c>
      <c r="I119">
        <v>4.3700000000000003E-2</v>
      </c>
    </row>
    <row r="120" spans="1:9" x14ac:dyDescent="0.3">
      <c r="A120">
        <v>17</v>
      </c>
      <c r="B120">
        <v>5</v>
      </c>
      <c r="C120">
        <v>207718</v>
      </c>
      <c r="D120" s="20" t="s">
        <v>58</v>
      </c>
      <c r="E120" s="10">
        <v>44098</v>
      </c>
      <c r="F120" s="20" t="s">
        <v>23</v>
      </c>
      <c r="G120" s="20" t="s">
        <v>144</v>
      </c>
      <c r="H120" s="3" t="s">
        <v>217</v>
      </c>
      <c r="I120">
        <v>0.4</v>
      </c>
    </row>
    <row r="121" spans="1:9" x14ac:dyDescent="0.3">
      <c r="A121">
        <v>18</v>
      </c>
      <c r="B121">
        <v>1</v>
      </c>
      <c r="C121">
        <v>207719</v>
      </c>
      <c r="D121" s="20" t="s">
        <v>58</v>
      </c>
      <c r="E121" s="10">
        <v>44098</v>
      </c>
      <c r="F121" s="20" t="s">
        <v>23</v>
      </c>
      <c r="G121" s="20" t="s">
        <v>144</v>
      </c>
      <c r="H121" s="3" t="s">
        <v>24</v>
      </c>
      <c r="I121">
        <f>SUM(0.06+0.0179)</f>
        <v>7.7899999999999997E-2</v>
      </c>
    </row>
    <row r="122" spans="1:9" x14ac:dyDescent="0.3">
      <c r="A122">
        <v>18</v>
      </c>
      <c r="B122">
        <v>1</v>
      </c>
      <c r="C122">
        <v>207719</v>
      </c>
      <c r="D122" s="20" t="s">
        <v>58</v>
      </c>
      <c r="E122" s="10">
        <v>44098</v>
      </c>
      <c r="F122" s="20" t="s">
        <v>23</v>
      </c>
      <c r="G122" s="20" t="s">
        <v>143</v>
      </c>
      <c r="H122" s="3" t="s">
        <v>52</v>
      </c>
      <c r="I122">
        <v>1.421</v>
      </c>
    </row>
    <row r="123" spans="1:9" x14ac:dyDescent="0.3">
      <c r="A123">
        <v>18</v>
      </c>
      <c r="B123">
        <v>2</v>
      </c>
      <c r="C123">
        <v>207720</v>
      </c>
      <c r="D123" s="20" t="s">
        <v>58</v>
      </c>
      <c r="E123" s="10">
        <v>44098</v>
      </c>
      <c r="F123" s="20" t="s">
        <v>23</v>
      </c>
      <c r="G123" s="20" t="s">
        <v>144</v>
      </c>
      <c r="H123" s="3" t="s">
        <v>77</v>
      </c>
      <c r="I123">
        <v>8.9899999999999994E-2</v>
      </c>
    </row>
    <row r="124" spans="1:9" x14ac:dyDescent="0.3">
      <c r="A124">
        <v>18</v>
      </c>
      <c r="B124">
        <v>3</v>
      </c>
      <c r="C124">
        <v>207721</v>
      </c>
      <c r="D124" s="20" t="s">
        <v>58</v>
      </c>
      <c r="E124" s="10">
        <v>44098</v>
      </c>
      <c r="F124" s="20" t="s">
        <v>23</v>
      </c>
      <c r="G124" s="20" t="s">
        <v>144</v>
      </c>
      <c r="H124" s="3" t="s">
        <v>218</v>
      </c>
      <c r="I124">
        <v>3.8100000000000002E-2</v>
      </c>
    </row>
    <row r="125" spans="1:9" x14ac:dyDescent="0.3">
      <c r="A125">
        <v>18</v>
      </c>
      <c r="B125">
        <v>4</v>
      </c>
      <c r="C125">
        <v>207722</v>
      </c>
      <c r="D125" s="20" t="s">
        <v>58</v>
      </c>
      <c r="E125" s="10">
        <v>44098</v>
      </c>
      <c r="F125" s="20" t="s">
        <v>23</v>
      </c>
      <c r="G125" s="20" t="s">
        <v>144</v>
      </c>
      <c r="H125" s="3" t="s">
        <v>202</v>
      </c>
      <c r="I125">
        <v>5.2699999999999997E-2</v>
      </c>
    </row>
    <row r="126" spans="1:9" x14ac:dyDescent="0.3">
      <c r="A126">
        <v>18</v>
      </c>
      <c r="B126">
        <v>5</v>
      </c>
      <c r="C126">
        <v>207723</v>
      </c>
      <c r="D126" s="20" t="s">
        <v>58</v>
      </c>
      <c r="E126" s="10">
        <v>44098</v>
      </c>
      <c r="F126" s="20" t="s">
        <v>23</v>
      </c>
      <c r="G126" s="20" t="s">
        <v>143</v>
      </c>
      <c r="H126" s="3" t="s">
        <v>52</v>
      </c>
      <c r="I126">
        <v>36.347099999999998</v>
      </c>
    </row>
    <row r="127" spans="1:9" x14ac:dyDescent="0.3">
      <c r="A127">
        <v>18</v>
      </c>
      <c r="B127">
        <v>5</v>
      </c>
      <c r="C127">
        <v>207723</v>
      </c>
      <c r="D127" s="20" t="s">
        <v>58</v>
      </c>
      <c r="E127" s="10">
        <v>44098</v>
      </c>
      <c r="F127" s="20" t="s">
        <v>23</v>
      </c>
      <c r="G127" s="20" t="s">
        <v>144</v>
      </c>
      <c r="H127" s="3" t="s">
        <v>217</v>
      </c>
      <c r="I127">
        <v>3.7100000000000001E-2</v>
      </c>
    </row>
    <row r="128" spans="1:9" x14ac:dyDescent="0.3">
      <c r="A128">
        <v>19</v>
      </c>
      <c r="B128">
        <v>1</v>
      </c>
      <c r="C128">
        <v>207724</v>
      </c>
      <c r="D128" s="20" t="s">
        <v>58</v>
      </c>
      <c r="E128" s="10">
        <v>44099</v>
      </c>
      <c r="F128" s="20" t="s">
        <v>23</v>
      </c>
      <c r="G128" s="20" t="s">
        <v>126</v>
      </c>
      <c r="H128" s="3" t="s">
        <v>126</v>
      </c>
      <c r="I128" t="s">
        <v>263</v>
      </c>
    </row>
    <row r="129" spans="1:10" x14ac:dyDescent="0.3">
      <c r="A129">
        <v>19</v>
      </c>
      <c r="B129">
        <v>2</v>
      </c>
      <c r="C129">
        <v>207725</v>
      </c>
      <c r="D129" s="20" t="s">
        <v>58</v>
      </c>
      <c r="E129" s="10">
        <v>44099</v>
      </c>
      <c r="F129" s="20" t="s">
        <v>23</v>
      </c>
      <c r="G129" s="20" t="s">
        <v>144</v>
      </c>
      <c r="H129" s="3" t="s">
        <v>54</v>
      </c>
      <c r="I129">
        <v>0.129</v>
      </c>
      <c r="J129" t="s">
        <v>264</v>
      </c>
    </row>
    <row r="130" spans="1:10" x14ac:dyDescent="0.3">
      <c r="A130">
        <v>19</v>
      </c>
      <c r="B130">
        <v>2</v>
      </c>
      <c r="C130">
        <v>207725</v>
      </c>
      <c r="D130" s="20" t="s">
        <v>58</v>
      </c>
      <c r="E130" s="10">
        <v>44099</v>
      </c>
      <c r="F130" s="20" t="s">
        <v>23</v>
      </c>
      <c r="G130" s="20" t="s">
        <v>143</v>
      </c>
      <c r="H130" s="3" t="s">
        <v>52</v>
      </c>
      <c r="I130">
        <v>0.28599999999999998</v>
      </c>
    </row>
    <row r="131" spans="1:10" x14ac:dyDescent="0.3">
      <c r="A131">
        <v>19</v>
      </c>
      <c r="B131">
        <v>3</v>
      </c>
      <c r="C131">
        <v>207726</v>
      </c>
      <c r="D131" s="20" t="s">
        <v>58</v>
      </c>
      <c r="E131" s="10">
        <v>44099</v>
      </c>
      <c r="F131" s="20" t="s">
        <v>23</v>
      </c>
      <c r="G131" s="20" t="s">
        <v>144</v>
      </c>
      <c r="H131" s="3" t="s">
        <v>28</v>
      </c>
      <c r="I131">
        <f>SUM(0.082+0.0012)</f>
        <v>8.320000000000001E-2</v>
      </c>
    </row>
    <row r="132" spans="1:10" x14ac:dyDescent="0.3">
      <c r="A132">
        <v>19</v>
      </c>
      <c r="B132">
        <v>4</v>
      </c>
      <c r="C132">
        <v>207727</v>
      </c>
      <c r="D132" s="20" t="s">
        <v>58</v>
      </c>
      <c r="E132" s="10">
        <v>44099</v>
      </c>
      <c r="F132" s="20" t="s">
        <v>23</v>
      </c>
      <c r="G132" s="20" t="s">
        <v>126</v>
      </c>
      <c r="H132" s="3" t="s">
        <v>126</v>
      </c>
      <c r="I132" t="s">
        <v>266</v>
      </c>
    </row>
    <row r="133" spans="1:10" x14ac:dyDescent="0.3">
      <c r="A133">
        <v>19</v>
      </c>
      <c r="B133">
        <v>5</v>
      </c>
      <c r="C133">
        <v>207727</v>
      </c>
      <c r="D133" s="20" t="s">
        <v>58</v>
      </c>
      <c r="E133" s="10">
        <v>44099</v>
      </c>
      <c r="F133" s="20" t="s">
        <v>23</v>
      </c>
      <c r="G133" s="20" t="s">
        <v>126</v>
      </c>
      <c r="H133" s="3" t="s">
        <v>126</v>
      </c>
      <c r="I133" t="s">
        <v>266</v>
      </c>
    </row>
    <row r="134" spans="1:10" x14ac:dyDescent="0.3">
      <c r="A134">
        <v>20</v>
      </c>
      <c r="B134">
        <v>1</v>
      </c>
      <c r="C134">
        <v>207729</v>
      </c>
      <c r="D134" s="20" t="s">
        <v>58</v>
      </c>
      <c r="E134" s="10">
        <v>44099</v>
      </c>
      <c r="F134" s="20" t="s">
        <v>23</v>
      </c>
      <c r="G134" t="s">
        <v>143</v>
      </c>
      <c r="H134" s="3" t="s">
        <v>52</v>
      </c>
      <c r="I134">
        <f>SUM(13.1261+0.3972)</f>
        <v>13.523299999999999</v>
      </c>
    </row>
    <row r="135" spans="1:10" x14ac:dyDescent="0.3">
      <c r="A135">
        <v>20</v>
      </c>
      <c r="B135">
        <v>1</v>
      </c>
      <c r="C135">
        <v>207729</v>
      </c>
      <c r="D135" s="20" t="s">
        <v>58</v>
      </c>
      <c r="E135" s="10">
        <v>44099</v>
      </c>
      <c r="F135" s="20" t="s">
        <v>23</v>
      </c>
      <c r="G135" s="20" t="s">
        <v>144</v>
      </c>
      <c r="H135" s="3" t="s">
        <v>52</v>
      </c>
      <c r="I135">
        <v>1.1999999999999999E-3</v>
      </c>
    </row>
    <row r="136" spans="1:10" x14ac:dyDescent="0.3">
      <c r="A136">
        <v>20</v>
      </c>
      <c r="B136">
        <v>1</v>
      </c>
      <c r="C136">
        <v>207729</v>
      </c>
      <c r="D136" s="20" t="s">
        <v>58</v>
      </c>
      <c r="E136" s="10">
        <v>44099</v>
      </c>
      <c r="F136" s="20" t="s">
        <v>23</v>
      </c>
      <c r="G136" s="20" t="s">
        <v>144</v>
      </c>
      <c r="H136" s="3" t="s">
        <v>54</v>
      </c>
      <c r="I136">
        <v>0.1</v>
      </c>
    </row>
    <row r="137" spans="1:10" x14ac:dyDescent="0.3">
      <c r="A137">
        <v>20</v>
      </c>
      <c r="B137">
        <v>1</v>
      </c>
      <c r="C137">
        <v>207729</v>
      </c>
      <c r="D137" s="20" t="s">
        <v>58</v>
      </c>
      <c r="E137" s="10">
        <v>44099</v>
      </c>
      <c r="F137" s="20" t="s">
        <v>23</v>
      </c>
      <c r="G137" s="20" t="s">
        <v>144</v>
      </c>
      <c r="H137" s="3" t="s">
        <v>28</v>
      </c>
      <c r="I137">
        <v>2.3E-3</v>
      </c>
    </row>
    <row r="138" spans="1:10" x14ac:dyDescent="0.3">
      <c r="A138">
        <v>20</v>
      </c>
      <c r="B138">
        <v>1</v>
      </c>
      <c r="C138">
        <v>207729</v>
      </c>
      <c r="D138" s="20" t="s">
        <v>58</v>
      </c>
      <c r="E138" s="10">
        <v>44099</v>
      </c>
      <c r="F138" s="20" t="s">
        <v>23</v>
      </c>
      <c r="G138" s="20" t="s">
        <v>144</v>
      </c>
      <c r="H138" s="3" t="s">
        <v>68</v>
      </c>
      <c r="I138">
        <v>7.0000000000000001E-3</v>
      </c>
    </row>
    <row r="139" spans="1:10" x14ac:dyDescent="0.3">
      <c r="A139">
        <v>20</v>
      </c>
      <c r="B139">
        <v>1</v>
      </c>
      <c r="C139">
        <v>207729</v>
      </c>
      <c r="D139" s="20" t="s">
        <v>58</v>
      </c>
      <c r="E139" s="10">
        <v>44099</v>
      </c>
      <c r="F139" s="20" t="s">
        <v>23</v>
      </c>
      <c r="G139" s="20" t="s">
        <v>144</v>
      </c>
      <c r="H139" s="3" t="s">
        <v>102</v>
      </c>
      <c r="I139">
        <v>3.09E-2</v>
      </c>
      <c r="J139" t="s">
        <v>240</v>
      </c>
    </row>
    <row r="140" spans="1:10" x14ac:dyDescent="0.3">
      <c r="A140">
        <v>20</v>
      </c>
      <c r="B140">
        <v>1</v>
      </c>
      <c r="C140">
        <v>207729</v>
      </c>
      <c r="D140" s="20" t="s">
        <v>58</v>
      </c>
      <c r="E140" s="10">
        <v>44099</v>
      </c>
      <c r="F140" s="20" t="s">
        <v>23</v>
      </c>
      <c r="G140" s="20" t="s">
        <v>144</v>
      </c>
      <c r="H140" s="3" t="s">
        <v>102</v>
      </c>
      <c r="I140">
        <v>2.7300000000000001E-2</v>
      </c>
    </row>
    <row r="141" spans="1:10" x14ac:dyDescent="0.3">
      <c r="A141">
        <v>20</v>
      </c>
      <c r="B141">
        <v>1</v>
      </c>
      <c r="C141">
        <v>207729</v>
      </c>
      <c r="D141" s="20" t="s">
        <v>58</v>
      </c>
      <c r="E141" s="10">
        <v>44099</v>
      </c>
      <c r="F141" s="20" t="s">
        <v>23</v>
      </c>
      <c r="G141" s="20" t="s">
        <v>144</v>
      </c>
      <c r="H141" s="3" t="s">
        <v>102</v>
      </c>
      <c r="I141">
        <v>2.0999999999999999E-3</v>
      </c>
      <c r="J141" t="s">
        <v>240</v>
      </c>
    </row>
    <row r="142" spans="1:10" x14ac:dyDescent="0.3">
      <c r="A142">
        <v>20</v>
      </c>
      <c r="B142">
        <v>2</v>
      </c>
      <c r="C142">
        <v>207730</v>
      </c>
      <c r="D142" s="20" t="s">
        <v>58</v>
      </c>
      <c r="E142" s="10">
        <v>44099</v>
      </c>
      <c r="F142" s="20" t="s">
        <v>23</v>
      </c>
      <c r="G142" s="20" t="s">
        <v>143</v>
      </c>
      <c r="H142" s="3" t="s">
        <v>52</v>
      </c>
      <c r="I142">
        <f>SUM(0.9952+0.2226)</f>
        <v>1.2178</v>
      </c>
    </row>
    <row r="143" spans="1:10" x14ac:dyDescent="0.3">
      <c r="A143">
        <v>20</v>
      </c>
      <c r="B143">
        <v>2</v>
      </c>
      <c r="C143">
        <v>207730</v>
      </c>
      <c r="D143" s="20" t="s">
        <v>58</v>
      </c>
      <c r="E143" s="10">
        <v>44099</v>
      </c>
      <c r="F143" s="20" t="s">
        <v>23</v>
      </c>
      <c r="G143" s="20" t="s">
        <v>144</v>
      </c>
      <c r="H143" s="3" t="s">
        <v>73</v>
      </c>
      <c r="I143">
        <v>3.7499999999999999E-2</v>
      </c>
    </row>
    <row r="144" spans="1:10" x14ac:dyDescent="0.3">
      <c r="A144">
        <v>20</v>
      </c>
      <c r="B144">
        <v>2</v>
      </c>
      <c r="C144">
        <v>207730</v>
      </c>
      <c r="D144" s="20" t="s">
        <v>58</v>
      </c>
      <c r="E144" s="10">
        <v>44099</v>
      </c>
      <c r="F144" s="20" t="s">
        <v>23</v>
      </c>
      <c r="G144" s="20" t="s">
        <v>144</v>
      </c>
      <c r="H144" s="3" t="s">
        <v>77</v>
      </c>
      <c r="I144">
        <v>5.7099999999999998E-2</v>
      </c>
    </row>
    <row r="145" spans="1:10" x14ac:dyDescent="0.3">
      <c r="A145">
        <v>20</v>
      </c>
      <c r="B145">
        <v>2</v>
      </c>
      <c r="C145">
        <v>207730</v>
      </c>
      <c r="D145" s="20" t="s">
        <v>58</v>
      </c>
      <c r="E145" s="10">
        <v>44099</v>
      </c>
      <c r="F145" s="20" t="s">
        <v>23</v>
      </c>
      <c r="G145" s="20" t="s">
        <v>144</v>
      </c>
      <c r="H145" s="3" t="s">
        <v>52</v>
      </c>
      <c r="I145">
        <v>5.9900000000000002E-2</v>
      </c>
    </row>
    <row r="146" spans="1:10" x14ac:dyDescent="0.3">
      <c r="A146">
        <v>20</v>
      </c>
      <c r="B146">
        <v>3</v>
      </c>
      <c r="C146">
        <v>207731</v>
      </c>
      <c r="D146" s="20" t="s">
        <v>58</v>
      </c>
      <c r="E146" s="10">
        <v>44099</v>
      </c>
      <c r="F146" s="20" t="s">
        <v>23</v>
      </c>
      <c r="G146" s="20" t="s">
        <v>143</v>
      </c>
      <c r="H146" s="3" t="s">
        <v>52</v>
      </c>
      <c r="I146">
        <v>0.3679</v>
      </c>
    </row>
    <row r="147" spans="1:10" x14ac:dyDescent="0.3">
      <c r="A147">
        <v>20</v>
      </c>
      <c r="B147">
        <v>3</v>
      </c>
      <c r="C147">
        <v>207731</v>
      </c>
      <c r="D147" s="20" t="s">
        <v>58</v>
      </c>
      <c r="E147" s="10">
        <v>44099</v>
      </c>
      <c r="F147" s="20" t="s">
        <v>23</v>
      </c>
      <c r="G147" s="20" t="s">
        <v>144</v>
      </c>
      <c r="H147" s="3" t="s">
        <v>28</v>
      </c>
      <c r="I147">
        <v>0.151</v>
      </c>
    </row>
    <row r="148" spans="1:10" x14ac:dyDescent="0.3">
      <c r="A148">
        <v>20</v>
      </c>
      <c r="B148">
        <v>3</v>
      </c>
      <c r="C148">
        <v>207731</v>
      </c>
      <c r="D148" s="20" t="s">
        <v>58</v>
      </c>
      <c r="E148" s="10">
        <v>44099</v>
      </c>
      <c r="F148" s="20" t="s">
        <v>23</v>
      </c>
      <c r="G148" s="20" t="s">
        <v>144</v>
      </c>
      <c r="H148" s="3" t="s">
        <v>28</v>
      </c>
      <c r="I148">
        <v>1.9E-3</v>
      </c>
      <c r="J148" t="s">
        <v>243</v>
      </c>
    </row>
    <row r="149" spans="1:10" x14ac:dyDescent="0.3">
      <c r="A149">
        <v>20</v>
      </c>
      <c r="B149">
        <v>4</v>
      </c>
      <c r="C149">
        <v>207732</v>
      </c>
      <c r="D149" s="20" t="s">
        <v>58</v>
      </c>
      <c r="E149" s="10">
        <v>44099</v>
      </c>
      <c r="F149" s="20" t="s">
        <v>23</v>
      </c>
      <c r="G149" s="20" t="s">
        <v>143</v>
      </c>
      <c r="H149" s="3" t="s">
        <v>52</v>
      </c>
      <c r="I149">
        <v>3.8800000000000001E-2</v>
      </c>
    </row>
    <row r="150" spans="1:10" x14ac:dyDescent="0.3">
      <c r="A150">
        <v>20</v>
      </c>
      <c r="B150">
        <v>4</v>
      </c>
      <c r="C150">
        <v>207732</v>
      </c>
      <c r="D150" s="20" t="s">
        <v>58</v>
      </c>
      <c r="E150" s="10">
        <v>44099</v>
      </c>
      <c r="F150" s="20" t="s">
        <v>23</v>
      </c>
      <c r="G150" s="20" t="s">
        <v>144</v>
      </c>
      <c r="H150" s="3" t="s">
        <v>52</v>
      </c>
      <c r="I150">
        <v>1E-4</v>
      </c>
    </row>
    <row r="151" spans="1:10" x14ac:dyDescent="0.3">
      <c r="A151">
        <v>20</v>
      </c>
      <c r="B151">
        <v>4</v>
      </c>
      <c r="C151">
        <v>207732</v>
      </c>
      <c r="D151" s="20" t="s">
        <v>58</v>
      </c>
      <c r="E151" s="10">
        <v>44099</v>
      </c>
      <c r="F151" s="20" t="s">
        <v>23</v>
      </c>
      <c r="G151" s="20" t="s">
        <v>144</v>
      </c>
      <c r="H151" s="3" t="s">
        <v>87</v>
      </c>
      <c r="I151">
        <v>5.9499999999999997E-2</v>
      </c>
    </row>
    <row r="152" spans="1:10" x14ac:dyDescent="0.3">
      <c r="A152">
        <v>20</v>
      </c>
      <c r="B152">
        <v>4</v>
      </c>
      <c r="C152">
        <v>207732</v>
      </c>
      <c r="D152" s="20" t="s">
        <v>58</v>
      </c>
      <c r="E152" s="10">
        <v>44099</v>
      </c>
      <c r="F152" s="20" t="s">
        <v>23</v>
      </c>
      <c r="G152" s="20" t="s">
        <v>144</v>
      </c>
      <c r="H152" s="3" t="s">
        <v>77</v>
      </c>
      <c r="I152">
        <v>1.15E-2</v>
      </c>
    </row>
    <row r="153" spans="1:10" x14ac:dyDescent="0.3">
      <c r="A153">
        <v>20</v>
      </c>
      <c r="B153">
        <v>5</v>
      </c>
      <c r="C153">
        <v>207733</v>
      </c>
      <c r="D153" s="20" t="s">
        <v>58</v>
      </c>
      <c r="E153" s="10">
        <v>44099</v>
      </c>
      <c r="F153" s="20" t="s">
        <v>23</v>
      </c>
      <c r="G153" s="20" t="s">
        <v>144</v>
      </c>
      <c r="H153" s="3" t="s">
        <v>28</v>
      </c>
      <c r="I153">
        <v>1.9400000000000001E-2</v>
      </c>
    </row>
    <row r="154" spans="1:10" x14ac:dyDescent="0.3">
      <c r="A154">
        <v>20</v>
      </c>
      <c r="B154">
        <v>5</v>
      </c>
      <c r="C154">
        <v>207733</v>
      </c>
      <c r="D154" s="20" t="s">
        <v>58</v>
      </c>
      <c r="E154" s="10">
        <v>44099</v>
      </c>
      <c r="F154" s="20" t="s">
        <v>23</v>
      </c>
      <c r="G154" s="20" t="s">
        <v>144</v>
      </c>
      <c r="H154" s="3" t="s">
        <v>90</v>
      </c>
      <c r="I154">
        <v>7.4000000000000003E-3</v>
      </c>
    </row>
    <row r="155" spans="1:10" x14ac:dyDescent="0.3">
      <c r="A155">
        <v>21</v>
      </c>
      <c r="B155">
        <v>1</v>
      </c>
      <c r="C155">
        <v>207739</v>
      </c>
      <c r="D155" s="20" t="s">
        <v>58</v>
      </c>
      <c r="E155" s="10">
        <v>44099</v>
      </c>
      <c r="F155" s="20" t="s">
        <v>23</v>
      </c>
      <c r="G155" t="s">
        <v>143</v>
      </c>
      <c r="H155" s="3" t="s">
        <v>52</v>
      </c>
      <c r="I155">
        <v>1.397</v>
      </c>
    </row>
    <row r="156" spans="1:10" x14ac:dyDescent="0.3">
      <c r="A156">
        <v>21</v>
      </c>
      <c r="B156">
        <v>1</v>
      </c>
      <c r="C156">
        <v>207739</v>
      </c>
      <c r="D156" s="20" t="s">
        <v>58</v>
      </c>
      <c r="E156" s="10">
        <v>44099</v>
      </c>
      <c r="F156" s="20" t="s">
        <v>23</v>
      </c>
      <c r="G156" s="20" t="s">
        <v>144</v>
      </c>
      <c r="H156" s="3" t="s">
        <v>219</v>
      </c>
      <c r="I156">
        <v>0.1163</v>
      </c>
    </row>
    <row r="157" spans="1:10" x14ac:dyDescent="0.3">
      <c r="A157">
        <v>21</v>
      </c>
      <c r="B157">
        <v>2</v>
      </c>
      <c r="C157">
        <v>207735</v>
      </c>
      <c r="D157" s="20" t="s">
        <v>58</v>
      </c>
      <c r="E157" s="10">
        <v>44099</v>
      </c>
      <c r="F157" s="20" t="s">
        <v>23</v>
      </c>
      <c r="G157" s="20" t="s">
        <v>143</v>
      </c>
      <c r="H157" s="3" t="s">
        <v>73</v>
      </c>
      <c r="I157">
        <v>4.1000000000000003E-3</v>
      </c>
    </row>
    <row r="158" spans="1:10" x14ac:dyDescent="0.3">
      <c r="A158">
        <v>21</v>
      </c>
      <c r="B158">
        <v>2</v>
      </c>
      <c r="C158">
        <v>207735</v>
      </c>
      <c r="D158" s="20" t="s">
        <v>58</v>
      </c>
      <c r="E158" s="10">
        <v>44099</v>
      </c>
      <c r="F158" s="20" t="s">
        <v>23</v>
      </c>
      <c r="G158" s="20" t="s">
        <v>144</v>
      </c>
      <c r="H158" s="3" t="s">
        <v>73</v>
      </c>
      <c r="I158">
        <f>SUM(0.1246+0.0036)</f>
        <v>0.12820000000000001</v>
      </c>
    </row>
    <row r="159" spans="1:10" x14ac:dyDescent="0.3">
      <c r="A159">
        <v>21</v>
      </c>
      <c r="B159">
        <v>3</v>
      </c>
      <c r="C159">
        <v>207736</v>
      </c>
      <c r="D159" t="s">
        <v>58</v>
      </c>
      <c r="E159" s="10">
        <v>44099</v>
      </c>
      <c r="F159" t="s">
        <v>23</v>
      </c>
      <c r="G159" s="20" t="s">
        <v>143</v>
      </c>
      <c r="H159" s="3" t="s">
        <v>52</v>
      </c>
      <c r="I159">
        <v>1.84E-2</v>
      </c>
    </row>
    <row r="160" spans="1:10" x14ac:dyDescent="0.3">
      <c r="A160">
        <v>21</v>
      </c>
      <c r="B160">
        <v>3</v>
      </c>
      <c r="C160">
        <v>207736</v>
      </c>
      <c r="D160" t="s">
        <v>58</v>
      </c>
      <c r="E160" s="10">
        <v>44099</v>
      </c>
      <c r="F160" t="s">
        <v>23</v>
      </c>
      <c r="G160" t="s">
        <v>144</v>
      </c>
      <c r="H160" s="3" t="s">
        <v>47</v>
      </c>
      <c r="I160">
        <v>5.8500000000000003E-2</v>
      </c>
    </row>
    <row r="161" spans="1:10" x14ac:dyDescent="0.3">
      <c r="A161">
        <v>21</v>
      </c>
      <c r="B161">
        <v>3</v>
      </c>
      <c r="C161">
        <v>207736</v>
      </c>
      <c r="D161" t="s">
        <v>58</v>
      </c>
      <c r="E161" s="10">
        <v>44099</v>
      </c>
      <c r="F161" t="s">
        <v>23</v>
      </c>
      <c r="G161" t="s">
        <v>144</v>
      </c>
      <c r="H161" s="3" t="s">
        <v>28</v>
      </c>
      <c r="I161">
        <v>8.3999999999999995E-3</v>
      </c>
    </row>
    <row r="162" spans="1:10" x14ac:dyDescent="0.3">
      <c r="A162">
        <v>21</v>
      </c>
      <c r="B162">
        <v>4</v>
      </c>
      <c r="C162">
        <v>207737</v>
      </c>
      <c r="D162" s="20" t="s">
        <v>58</v>
      </c>
      <c r="E162" s="10">
        <v>44099</v>
      </c>
      <c r="F162" s="20" t="s">
        <v>23</v>
      </c>
      <c r="G162" s="20" t="s">
        <v>144</v>
      </c>
      <c r="H162" s="3" t="s">
        <v>47</v>
      </c>
      <c r="I162">
        <v>3.95E-2</v>
      </c>
    </row>
    <row r="163" spans="1:10" x14ac:dyDescent="0.3">
      <c r="A163">
        <v>21</v>
      </c>
      <c r="B163">
        <v>4</v>
      </c>
      <c r="C163">
        <v>207737</v>
      </c>
      <c r="D163" s="20" t="s">
        <v>58</v>
      </c>
      <c r="E163" s="10">
        <v>44099</v>
      </c>
      <c r="F163" s="20" t="s">
        <v>23</v>
      </c>
      <c r="G163" s="20" t="s">
        <v>144</v>
      </c>
      <c r="H163" s="3" t="s">
        <v>28</v>
      </c>
      <c r="I163">
        <v>7.4000000000000003E-3</v>
      </c>
    </row>
    <row r="164" spans="1:10" x14ac:dyDescent="0.3">
      <c r="A164">
        <v>21</v>
      </c>
      <c r="B164">
        <v>5</v>
      </c>
      <c r="C164">
        <v>207738</v>
      </c>
      <c r="D164" s="20" t="s">
        <v>58</v>
      </c>
      <c r="E164" s="10">
        <v>44099</v>
      </c>
      <c r="F164" s="20" t="s">
        <v>23</v>
      </c>
      <c r="G164" s="20" t="s">
        <v>143</v>
      </c>
      <c r="H164" s="3" t="s">
        <v>52</v>
      </c>
      <c r="I164">
        <f>SUM(0.0644+0.0195)</f>
        <v>8.3900000000000002E-2</v>
      </c>
    </row>
    <row r="165" spans="1:10" x14ac:dyDescent="0.3">
      <c r="A165">
        <v>21</v>
      </c>
      <c r="B165">
        <v>5</v>
      </c>
      <c r="C165">
        <v>207738</v>
      </c>
      <c r="D165" s="20" t="s">
        <v>58</v>
      </c>
      <c r="E165" s="10">
        <v>44099</v>
      </c>
      <c r="F165" s="20" t="s">
        <v>23</v>
      </c>
      <c r="G165" s="20" t="s">
        <v>144</v>
      </c>
      <c r="H165" s="3" t="s">
        <v>52</v>
      </c>
      <c r="I165">
        <v>0</v>
      </c>
      <c r="J165" t="s">
        <v>247</v>
      </c>
    </row>
    <row r="166" spans="1:10" x14ac:dyDescent="0.3">
      <c r="A166">
        <v>21</v>
      </c>
      <c r="B166">
        <v>5</v>
      </c>
      <c r="C166">
        <v>207738</v>
      </c>
      <c r="D166" s="20" t="s">
        <v>58</v>
      </c>
      <c r="E166" s="10">
        <v>44099</v>
      </c>
      <c r="F166" s="20" t="s">
        <v>23</v>
      </c>
      <c r="G166" s="20" t="s">
        <v>144</v>
      </c>
      <c r="H166" s="3" t="s">
        <v>80</v>
      </c>
      <c r="I166">
        <v>2.4500000000000001E-2</v>
      </c>
    </row>
    <row r="167" spans="1:10" x14ac:dyDescent="0.3">
      <c r="A167">
        <v>21</v>
      </c>
      <c r="B167">
        <v>5</v>
      </c>
      <c r="C167">
        <v>207738</v>
      </c>
      <c r="D167" s="20" t="s">
        <v>58</v>
      </c>
      <c r="E167" s="10">
        <v>44099</v>
      </c>
      <c r="F167" s="20" t="s">
        <v>23</v>
      </c>
      <c r="G167" s="20" t="s">
        <v>144</v>
      </c>
      <c r="H167" s="3" t="s">
        <v>54</v>
      </c>
      <c r="I167">
        <v>1.0200000000000001E-2</v>
      </c>
    </row>
    <row r="168" spans="1:10" x14ac:dyDescent="0.3">
      <c r="A168">
        <v>22</v>
      </c>
      <c r="B168">
        <v>1</v>
      </c>
      <c r="C168">
        <v>207739</v>
      </c>
      <c r="D168" s="20" t="s">
        <v>58</v>
      </c>
      <c r="E168" s="10">
        <v>44100</v>
      </c>
      <c r="F168" s="20" t="s">
        <v>23</v>
      </c>
      <c r="G168" s="20" t="s">
        <v>143</v>
      </c>
      <c r="H168" s="3" t="s">
        <v>52</v>
      </c>
      <c r="I168">
        <v>0.28899999999999998</v>
      </c>
    </row>
    <row r="169" spans="1:10" x14ac:dyDescent="0.3">
      <c r="A169">
        <v>22</v>
      </c>
      <c r="B169">
        <v>1</v>
      </c>
      <c r="C169">
        <v>207739</v>
      </c>
      <c r="D169" s="20" t="s">
        <v>58</v>
      </c>
      <c r="E169" s="10">
        <v>44100</v>
      </c>
      <c r="F169" s="20" t="s">
        <v>23</v>
      </c>
      <c r="G169" s="20" t="s">
        <v>144</v>
      </c>
      <c r="H169" s="3" t="s">
        <v>52</v>
      </c>
      <c r="I169">
        <v>6.1699999999999998E-2</v>
      </c>
    </row>
    <row r="170" spans="1:10" x14ac:dyDescent="0.3">
      <c r="A170">
        <v>22</v>
      </c>
      <c r="B170">
        <v>1</v>
      </c>
      <c r="C170">
        <v>207739</v>
      </c>
      <c r="D170" s="20" t="s">
        <v>58</v>
      </c>
      <c r="E170" s="10">
        <v>44100</v>
      </c>
      <c r="F170" s="20" t="s">
        <v>23</v>
      </c>
      <c r="G170" s="20" t="s">
        <v>144</v>
      </c>
      <c r="H170" s="3" t="s">
        <v>73</v>
      </c>
      <c r="I170">
        <v>0.20730000000000001</v>
      </c>
    </row>
    <row r="171" spans="1:10" x14ac:dyDescent="0.3">
      <c r="A171">
        <v>22</v>
      </c>
      <c r="B171">
        <v>2</v>
      </c>
      <c r="C171">
        <v>207740</v>
      </c>
      <c r="D171" s="20" t="s">
        <v>58</v>
      </c>
      <c r="E171" s="10">
        <v>44100</v>
      </c>
      <c r="F171" s="20" t="s">
        <v>23</v>
      </c>
      <c r="G171" s="20" t="s">
        <v>143</v>
      </c>
      <c r="H171" s="3" t="s">
        <v>52</v>
      </c>
      <c r="I171">
        <f>SUM(0.0444+0.2353)</f>
        <v>0.2797</v>
      </c>
    </row>
    <row r="172" spans="1:10" x14ac:dyDescent="0.3">
      <c r="A172">
        <v>22</v>
      </c>
      <c r="B172">
        <v>2</v>
      </c>
      <c r="C172">
        <v>207740</v>
      </c>
      <c r="D172" s="20" t="s">
        <v>58</v>
      </c>
      <c r="E172" s="10">
        <v>44100</v>
      </c>
      <c r="F172" s="20" t="s">
        <v>23</v>
      </c>
      <c r="G172" s="20" t="s">
        <v>144</v>
      </c>
      <c r="H172" s="3" t="s">
        <v>260</v>
      </c>
      <c r="I172">
        <v>5.1900000000000002E-2</v>
      </c>
    </row>
    <row r="173" spans="1:10" x14ac:dyDescent="0.3">
      <c r="A173">
        <v>22</v>
      </c>
      <c r="B173">
        <v>3</v>
      </c>
      <c r="C173">
        <v>207741</v>
      </c>
      <c r="D173" s="20" t="s">
        <v>58</v>
      </c>
      <c r="E173" s="10">
        <v>44100</v>
      </c>
      <c r="F173" s="20" t="s">
        <v>23</v>
      </c>
      <c r="G173" s="20" t="s">
        <v>144</v>
      </c>
      <c r="H173" s="3" t="s">
        <v>261</v>
      </c>
      <c r="I173">
        <v>3.5499999999999997E-2</v>
      </c>
    </row>
    <row r="174" spans="1:10" x14ac:dyDescent="0.3">
      <c r="A174">
        <v>22</v>
      </c>
      <c r="B174">
        <v>4</v>
      </c>
      <c r="C174">
        <v>207742</v>
      </c>
      <c r="D174" s="20" t="s">
        <v>58</v>
      </c>
      <c r="E174" s="10">
        <v>44100</v>
      </c>
      <c r="F174" s="20" t="s">
        <v>23</v>
      </c>
      <c r="G174" s="20" t="s">
        <v>144</v>
      </c>
      <c r="H174" s="3" t="s">
        <v>262</v>
      </c>
      <c r="I174">
        <v>2.7300000000000001E-2</v>
      </c>
    </row>
    <row r="175" spans="1:10" x14ac:dyDescent="0.3">
      <c r="A175">
        <v>22</v>
      </c>
      <c r="B175">
        <v>5</v>
      </c>
      <c r="C175">
        <v>207743</v>
      </c>
      <c r="D175" s="20" t="s">
        <v>58</v>
      </c>
      <c r="E175" s="10">
        <v>44100</v>
      </c>
      <c r="F175" s="20" t="s">
        <v>23</v>
      </c>
      <c r="G175" s="20" t="s">
        <v>144</v>
      </c>
      <c r="H175" s="3" t="s">
        <v>104</v>
      </c>
      <c r="I175">
        <v>2.3E-3</v>
      </c>
    </row>
    <row r="176" spans="1:10" x14ac:dyDescent="0.3">
      <c r="A176">
        <v>23</v>
      </c>
      <c r="B176">
        <v>1</v>
      </c>
      <c r="C176">
        <v>207744</v>
      </c>
      <c r="D176" t="s">
        <v>22</v>
      </c>
      <c r="E176" s="10">
        <v>44100</v>
      </c>
      <c r="F176" t="s">
        <v>23</v>
      </c>
      <c r="G176" t="s">
        <v>143</v>
      </c>
      <c r="H176" s="3" t="s">
        <v>52</v>
      </c>
      <c r="I176">
        <f>SUM(3.3071+0.0665)</f>
        <v>3.3736000000000002</v>
      </c>
    </row>
    <row r="177" spans="1:9" x14ac:dyDescent="0.3">
      <c r="A177">
        <v>23</v>
      </c>
      <c r="B177">
        <v>1</v>
      </c>
      <c r="C177">
        <v>207744</v>
      </c>
      <c r="D177" t="s">
        <v>22</v>
      </c>
      <c r="E177" s="10">
        <v>44100</v>
      </c>
      <c r="F177" t="s">
        <v>23</v>
      </c>
      <c r="G177" t="s">
        <v>144</v>
      </c>
      <c r="H177" s="3" t="s">
        <v>52</v>
      </c>
      <c r="I177">
        <v>1.9199999999999998E-2</v>
      </c>
    </row>
    <row r="178" spans="1:9" x14ac:dyDescent="0.3">
      <c r="A178">
        <v>23</v>
      </c>
      <c r="B178">
        <v>1</v>
      </c>
      <c r="C178">
        <v>207744</v>
      </c>
      <c r="D178" t="s">
        <v>22</v>
      </c>
      <c r="E178" s="10">
        <v>44100</v>
      </c>
      <c r="F178" t="s">
        <v>23</v>
      </c>
      <c r="G178" t="s">
        <v>144</v>
      </c>
      <c r="H178" s="3" t="s">
        <v>176</v>
      </c>
      <c r="I178">
        <v>0.1167</v>
      </c>
    </row>
    <row r="179" spans="1:9" x14ac:dyDescent="0.3">
      <c r="A179">
        <v>23</v>
      </c>
      <c r="B179">
        <v>2</v>
      </c>
      <c r="C179">
        <v>207745</v>
      </c>
      <c r="D179" t="s">
        <v>22</v>
      </c>
      <c r="E179" s="10">
        <v>44100</v>
      </c>
      <c r="F179" t="s">
        <v>23</v>
      </c>
      <c r="G179" t="s">
        <v>143</v>
      </c>
      <c r="H179" s="3" t="s">
        <v>52</v>
      </c>
      <c r="I179">
        <f>SUM(1.1438+0.0358)</f>
        <v>1.1796</v>
      </c>
    </row>
    <row r="180" spans="1:9" x14ac:dyDescent="0.3">
      <c r="A180">
        <v>23</v>
      </c>
      <c r="B180">
        <v>2</v>
      </c>
      <c r="C180">
        <v>207745</v>
      </c>
      <c r="D180" t="s">
        <v>22</v>
      </c>
      <c r="E180" s="10">
        <v>44100</v>
      </c>
      <c r="F180" t="s">
        <v>23</v>
      </c>
      <c r="G180" t="s">
        <v>144</v>
      </c>
      <c r="H180" s="3" t="s">
        <v>75</v>
      </c>
      <c r="I180">
        <v>3.9899999999999998E-2</v>
      </c>
    </row>
    <row r="181" spans="1:9" x14ac:dyDescent="0.3">
      <c r="A181">
        <v>23</v>
      </c>
      <c r="B181">
        <v>2</v>
      </c>
      <c r="C181">
        <v>207745</v>
      </c>
      <c r="D181" t="s">
        <v>22</v>
      </c>
      <c r="E181" s="10">
        <v>44100</v>
      </c>
      <c r="F181" t="s">
        <v>23</v>
      </c>
      <c r="G181" t="s">
        <v>144</v>
      </c>
      <c r="H181" s="3" t="s">
        <v>73</v>
      </c>
      <c r="I181">
        <v>7.3000000000000001E-3</v>
      </c>
    </row>
    <row r="182" spans="1:9" x14ac:dyDescent="0.3">
      <c r="A182">
        <v>23</v>
      </c>
      <c r="B182">
        <v>3</v>
      </c>
      <c r="C182">
        <v>207746</v>
      </c>
      <c r="D182" t="s">
        <v>22</v>
      </c>
      <c r="E182" s="10">
        <v>44100</v>
      </c>
      <c r="F182" t="s">
        <v>23</v>
      </c>
      <c r="G182" t="s">
        <v>144</v>
      </c>
      <c r="H182" s="3" t="s">
        <v>68</v>
      </c>
      <c r="I182">
        <v>2.8999999999999998E-3</v>
      </c>
    </row>
    <row r="183" spans="1:9" x14ac:dyDescent="0.3">
      <c r="A183">
        <v>23</v>
      </c>
      <c r="B183">
        <v>3</v>
      </c>
      <c r="C183">
        <v>207746</v>
      </c>
      <c r="D183" t="s">
        <v>22</v>
      </c>
      <c r="E183" s="10">
        <v>44100</v>
      </c>
      <c r="F183" t="s">
        <v>23</v>
      </c>
      <c r="G183" t="s">
        <v>144</v>
      </c>
      <c r="H183" s="3" t="s">
        <v>178</v>
      </c>
      <c r="I183">
        <f>SUM(0.0047+0.0001)</f>
        <v>4.8000000000000004E-3</v>
      </c>
    </row>
    <row r="184" spans="1:9" x14ac:dyDescent="0.3">
      <c r="A184">
        <v>23</v>
      </c>
      <c r="B184">
        <v>4</v>
      </c>
      <c r="C184">
        <v>207742</v>
      </c>
      <c r="D184" t="s">
        <v>22</v>
      </c>
      <c r="E184" s="10">
        <v>44100</v>
      </c>
      <c r="F184" t="s">
        <v>23</v>
      </c>
      <c r="G184" t="s">
        <v>143</v>
      </c>
      <c r="H184" s="3" t="s">
        <v>52</v>
      </c>
      <c r="I184">
        <v>1.4E-3</v>
      </c>
    </row>
    <row r="185" spans="1:9" x14ac:dyDescent="0.3">
      <c r="A185">
        <v>23</v>
      </c>
      <c r="B185">
        <v>4</v>
      </c>
      <c r="C185">
        <v>207742</v>
      </c>
      <c r="D185" t="s">
        <v>22</v>
      </c>
      <c r="E185" s="10">
        <v>44100</v>
      </c>
      <c r="F185" t="s">
        <v>23</v>
      </c>
      <c r="G185" t="s">
        <v>144</v>
      </c>
      <c r="H185" s="3" t="s">
        <v>90</v>
      </c>
      <c r="I185">
        <v>4.1000000000000003E-3</v>
      </c>
    </row>
    <row r="186" spans="1:9" x14ac:dyDescent="0.3">
      <c r="A186">
        <v>23</v>
      </c>
      <c r="B186">
        <v>5</v>
      </c>
      <c r="C186">
        <v>207748</v>
      </c>
      <c r="D186" t="s">
        <v>22</v>
      </c>
      <c r="E186" s="10">
        <v>44100</v>
      </c>
      <c r="F186" t="s">
        <v>23</v>
      </c>
      <c r="G186" t="s">
        <v>144</v>
      </c>
      <c r="H186" s="3" t="s">
        <v>99</v>
      </c>
      <c r="I186">
        <v>4.8999999999999998E-3</v>
      </c>
    </row>
    <row r="187" spans="1:9" x14ac:dyDescent="0.3">
      <c r="A187">
        <v>24</v>
      </c>
      <c r="B187">
        <v>1</v>
      </c>
      <c r="C187">
        <v>207749</v>
      </c>
      <c r="D187" t="s">
        <v>22</v>
      </c>
      <c r="E187" s="10">
        <v>44100</v>
      </c>
      <c r="F187" t="s">
        <v>23</v>
      </c>
      <c r="G187" t="s">
        <v>143</v>
      </c>
      <c r="H187" s="3" t="s">
        <v>52</v>
      </c>
      <c r="I187">
        <f>SUM(1.4541+0.0187)</f>
        <v>1.4727999999999999</v>
      </c>
    </row>
    <row r="188" spans="1:9" x14ac:dyDescent="0.3">
      <c r="A188">
        <v>24</v>
      </c>
      <c r="B188">
        <v>1</v>
      </c>
      <c r="C188">
        <v>207749</v>
      </c>
      <c r="D188" t="s">
        <v>22</v>
      </c>
      <c r="E188" s="10">
        <v>44100</v>
      </c>
      <c r="F188" t="s">
        <v>23</v>
      </c>
      <c r="G188" t="s">
        <v>144</v>
      </c>
      <c r="H188" s="3" t="s">
        <v>52</v>
      </c>
      <c r="I188">
        <v>5.9999999999999995E-4</v>
      </c>
    </row>
    <row r="189" spans="1:9" x14ac:dyDescent="0.3">
      <c r="A189">
        <v>24</v>
      </c>
      <c r="B189">
        <v>1</v>
      </c>
      <c r="C189">
        <v>207749</v>
      </c>
      <c r="D189" t="s">
        <v>22</v>
      </c>
      <c r="E189" s="10">
        <v>44100</v>
      </c>
      <c r="F189" t="s">
        <v>23</v>
      </c>
      <c r="G189" t="s">
        <v>144</v>
      </c>
      <c r="H189" s="3" t="s">
        <v>73</v>
      </c>
      <c r="I189">
        <v>0.11840000000000001</v>
      </c>
    </row>
    <row r="190" spans="1:9" x14ac:dyDescent="0.3">
      <c r="A190">
        <v>24</v>
      </c>
      <c r="B190">
        <v>2</v>
      </c>
      <c r="C190">
        <v>207750</v>
      </c>
      <c r="D190" t="s">
        <v>22</v>
      </c>
      <c r="E190" s="10">
        <v>44100</v>
      </c>
      <c r="F190" t="s">
        <v>23</v>
      </c>
      <c r="G190" t="s">
        <v>143</v>
      </c>
      <c r="H190" s="3" t="s">
        <v>52</v>
      </c>
      <c r="I190">
        <v>4.9000000000000002E-2</v>
      </c>
    </row>
    <row r="191" spans="1:9" x14ac:dyDescent="0.3">
      <c r="A191">
        <v>24</v>
      </c>
      <c r="B191">
        <v>2</v>
      </c>
      <c r="C191">
        <v>207750</v>
      </c>
      <c r="D191" t="s">
        <v>22</v>
      </c>
      <c r="E191" s="10">
        <v>44100</v>
      </c>
      <c r="F191" t="s">
        <v>23</v>
      </c>
      <c r="G191" t="s">
        <v>144</v>
      </c>
      <c r="H191" s="3" t="s">
        <v>68</v>
      </c>
      <c r="I191">
        <v>3.6799999999999999E-2</v>
      </c>
    </row>
    <row r="192" spans="1:9" x14ac:dyDescent="0.3">
      <c r="A192" s="20">
        <v>24</v>
      </c>
      <c r="B192" s="20">
        <v>2</v>
      </c>
      <c r="C192" s="20">
        <v>207750</v>
      </c>
      <c r="D192" s="20" t="s">
        <v>22</v>
      </c>
      <c r="E192" s="21">
        <v>44100</v>
      </c>
      <c r="F192" s="20" t="s">
        <v>23</v>
      </c>
      <c r="G192" s="20" t="s">
        <v>144</v>
      </c>
      <c r="H192" s="3" t="s">
        <v>48</v>
      </c>
      <c r="I192">
        <v>1.03E-2</v>
      </c>
    </row>
    <row r="193" spans="1:9" x14ac:dyDescent="0.3">
      <c r="A193">
        <v>24</v>
      </c>
      <c r="B193">
        <v>3</v>
      </c>
      <c r="C193">
        <v>207751</v>
      </c>
      <c r="D193" s="20" t="s">
        <v>22</v>
      </c>
      <c r="E193" s="21">
        <v>44100</v>
      </c>
      <c r="F193" s="20" t="s">
        <v>23</v>
      </c>
      <c r="G193" s="20" t="s">
        <v>144</v>
      </c>
      <c r="H193" s="3" t="s">
        <v>187</v>
      </c>
      <c r="I193">
        <f>SUM(0.009+0.0005)</f>
        <v>9.4999999999999998E-3</v>
      </c>
    </row>
    <row r="194" spans="1:9" x14ac:dyDescent="0.3">
      <c r="A194">
        <v>24</v>
      </c>
      <c r="B194">
        <v>4</v>
      </c>
      <c r="C194">
        <v>207752</v>
      </c>
      <c r="D194" s="20" t="s">
        <v>22</v>
      </c>
      <c r="E194" s="21">
        <v>44100</v>
      </c>
      <c r="F194" s="20" t="s">
        <v>23</v>
      </c>
      <c r="G194" s="20" t="s">
        <v>144</v>
      </c>
      <c r="H194" s="3" t="s">
        <v>73</v>
      </c>
      <c r="I194">
        <v>5.1000000000000004E-3</v>
      </c>
    </row>
    <row r="195" spans="1:9" x14ac:dyDescent="0.3">
      <c r="A195">
        <v>24</v>
      </c>
      <c r="B195">
        <v>5</v>
      </c>
      <c r="C195">
        <v>207553</v>
      </c>
      <c r="D195" s="20" t="s">
        <v>22</v>
      </c>
      <c r="E195" s="21">
        <v>44100</v>
      </c>
      <c r="F195" s="20" t="s">
        <v>23</v>
      </c>
      <c r="G195" s="20" t="s">
        <v>144</v>
      </c>
      <c r="H195" s="3" t="s">
        <v>99</v>
      </c>
      <c r="I195">
        <v>4.1000000000000003E-3</v>
      </c>
    </row>
  </sheetData>
  <sortState xmlns:xlrd2="http://schemas.microsoft.com/office/spreadsheetml/2017/richdata2" ref="A2:J195">
    <sortCondition ref="A1:A19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6FEF-A263-0D42-8831-D70A1141F218}">
  <dimension ref="A1:O363"/>
  <sheetViews>
    <sheetView tabSelected="1" workbookViewId="0">
      <pane ySplit="1" topLeftCell="A2" activePane="bottomLeft" state="frozen"/>
      <selection pane="bottomLeft" activeCell="K136" sqref="K136"/>
    </sheetView>
  </sheetViews>
  <sheetFormatPr defaultColWidth="11" defaultRowHeight="15.6" x14ac:dyDescent="0.3"/>
  <cols>
    <col min="5" max="5" width="11.5" style="3" bestFit="1" customWidth="1"/>
    <col min="7" max="7" width="18.69921875" bestFit="1" customWidth="1"/>
    <col min="8" max="8" width="11.69921875" customWidth="1"/>
  </cols>
  <sheetData>
    <row r="1" spans="1:10" s="1" customFormat="1" x14ac:dyDescent="0.3">
      <c r="A1" s="1" t="s">
        <v>0</v>
      </c>
      <c r="B1" s="1" t="s">
        <v>1</v>
      </c>
      <c r="C1" s="1" t="s">
        <v>6</v>
      </c>
      <c r="D1" s="1" t="s">
        <v>3</v>
      </c>
      <c r="E1" s="2" t="s">
        <v>4</v>
      </c>
      <c r="F1" s="1" t="s">
        <v>5</v>
      </c>
      <c r="G1" s="1" t="s">
        <v>7</v>
      </c>
      <c r="H1" s="1" t="s">
        <v>106</v>
      </c>
      <c r="I1" s="1" t="s">
        <v>107</v>
      </c>
      <c r="J1" s="1" t="s">
        <v>108</v>
      </c>
    </row>
    <row r="2" spans="1:10" x14ac:dyDescent="0.3">
      <c r="A2">
        <v>19</v>
      </c>
      <c r="B2">
        <v>1</v>
      </c>
      <c r="D2" t="s">
        <v>58</v>
      </c>
      <c r="E2" s="3">
        <v>44099</v>
      </c>
      <c r="F2" t="s">
        <v>23</v>
      </c>
      <c r="G2" t="s">
        <v>25</v>
      </c>
      <c r="H2" t="s">
        <v>109</v>
      </c>
      <c r="I2">
        <v>2.5</v>
      </c>
    </row>
    <row r="3" spans="1:10" x14ac:dyDescent="0.3">
      <c r="A3">
        <v>19</v>
      </c>
      <c r="B3">
        <v>1</v>
      </c>
      <c r="D3" t="s">
        <v>58</v>
      </c>
      <c r="E3" s="3">
        <v>44099</v>
      </c>
      <c r="F3" t="s">
        <v>23</v>
      </c>
      <c r="G3" t="s">
        <v>25</v>
      </c>
      <c r="H3" t="s">
        <v>109</v>
      </c>
      <c r="I3">
        <v>2.8</v>
      </c>
    </row>
    <row r="4" spans="1:10" x14ac:dyDescent="0.3">
      <c r="A4">
        <v>18</v>
      </c>
      <c r="B4">
        <v>1</v>
      </c>
      <c r="D4" t="s">
        <v>58</v>
      </c>
      <c r="E4" s="3">
        <v>44098</v>
      </c>
      <c r="F4" t="s">
        <v>23</v>
      </c>
      <c r="G4" t="s">
        <v>25</v>
      </c>
      <c r="H4" t="s">
        <v>109</v>
      </c>
      <c r="I4">
        <v>2.86</v>
      </c>
      <c r="J4">
        <v>0.88</v>
      </c>
    </row>
    <row r="5" spans="1:10" x14ac:dyDescent="0.3">
      <c r="A5">
        <v>18</v>
      </c>
      <c r="B5">
        <v>1</v>
      </c>
      <c r="D5" t="s">
        <v>58</v>
      </c>
      <c r="E5" s="3">
        <v>44098</v>
      </c>
      <c r="F5" t="s">
        <v>23</v>
      </c>
      <c r="G5" t="s">
        <v>25</v>
      </c>
      <c r="H5" t="s">
        <v>109</v>
      </c>
      <c r="I5">
        <v>2.72</v>
      </c>
      <c r="J5">
        <v>0.85</v>
      </c>
    </row>
    <row r="6" spans="1:10" x14ac:dyDescent="0.3">
      <c r="A6">
        <v>18</v>
      </c>
      <c r="B6">
        <v>1</v>
      </c>
      <c r="D6" t="s">
        <v>58</v>
      </c>
      <c r="E6" s="3">
        <v>44098</v>
      </c>
      <c r="F6" t="s">
        <v>23</v>
      </c>
      <c r="G6" t="s">
        <v>25</v>
      </c>
      <c r="H6" t="s">
        <v>13</v>
      </c>
      <c r="I6">
        <v>1.31</v>
      </c>
      <c r="J6">
        <v>0.37</v>
      </c>
    </row>
    <row r="7" spans="1:10" x14ac:dyDescent="0.3">
      <c r="A7">
        <v>19</v>
      </c>
      <c r="B7">
        <v>1</v>
      </c>
      <c r="D7" t="s">
        <v>58</v>
      </c>
      <c r="E7" s="3">
        <v>44099</v>
      </c>
      <c r="F7" t="s">
        <v>23</v>
      </c>
      <c r="G7" t="s">
        <v>25</v>
      </c>
      <c r="H7" t="s">
        <v>14</v>
      </c>
      <c r="I7">
        <v>3.3</v>
      </c>
    </row>
    <row r="8" spans="1:10" x14ac:dyDescent="0.3">
      <c r="A8">
        <v>18</v>
      </c>
      <c r="B8">
        <v>1</v>
      </c>
      <c r="D8" t="s">
        <v>58</v>
      </c>
      <c r="E8" s="3">
        <v>44098</v>
      </c>
      <c r="F8" t="s">
        <v>23</v>
      </c>
      <c r="G8" t="s">
        <v>25</v>
      </c>
      <c r="H8" t="s">
        <v>14</v>
      </c>
      <c r="I8">
        <v>1.79</v>
      </c>
      <c r="J8">
        <v>0.6</v>
      </c>
    </row>
    <row r="9" spans="1:10" x14ac:dyDescent="0.3">
      <c r="A9">
        <v>18</v>
      </c>
      <c r="B9">
        <v>1</v>
      </c>
      <c r="D9" t="s">
        <v>58</v>
      </c>
      <c r="E9" s="3">
        <v>44098</v>
      </c>
      <c r="F9" t="s">
        <v>23</v>
      </c>
      <c r="G9" t="s">
        <v>25</v>
      </c>
      <c r="H9" t="s">
        <v>14</v>
      </c>
      <c r="I9">
        <v>1.85</v>
      </c>
      <c r="J9">
        <v>0.56999999999999995</v>
      </c>
    </row>
    <row r="10" spans="1:10" x14ac:dyDescent="0.3">
      <c r="A10">
        <v>18</v>
      </c>
      <c r="B10">
        <v>1</v>
      </c>
      <c r="D10" t="s">
        <v>58</v>
      </c>
      <c r="E10" s="3">
        <v>44098</v>
      </c>
      <c r="F10" t="s">
        <v>23</v>
      </c>
      <c r="G10" t="s">
        <v>25</v>
      </c>
      <c r="H10" t="s">
        <v>14</v>
      </c>
      <c r="I10">
        <v>1.77</v>
      </c>
      <c r="J10">
        <v>0.5</v>
      </c>
    </row>
    <row r="11" spans="1:10" x14ac:dyDescent="0.3">
      <c r="A11">
        <v>18</v>
      </c>
      <c r="B11">
        <v>1</v>
      </c>
      <c r="D11" t="s">
        <v>58</v>
      </c>
      <c r="E11" s="3">
        <v>44098</v>
      </c>
      <c r="F11" t="s">
        <v>23</v>
      </c>
      <c r="G11" t="s">
        <v>25</v>
      </c>
      <c r="H11" t="s">
        <v>14</v>
      </c>
      <c r="I11">
        <v>1.78</v>
      </c>
      <c r="J11">
        <v>0.54</v>
      </c>
    </row>
    <row r="12" spans="1:10" x14ac:dyDescent="0.3">
      <c r="A12">
        <v>18</v>
      </c>
      <c r="B12">
        <v>1</v>
      </c>
      <c r="D12" t="s">
        <v>58</v>
      </c>
      <c r="E12" s="3">
        <v>44098</v>
      </c>
      <c r="F12" t="s">
        <v>23</v>
      </c>
      <c r="G12" t="s">
        <v>25</v>
      </c>
      <c r="H12" t="s">
        <v>14</v>
      </c>
      <c r="I12">
        <v>1.78</v>
      </c>
      <c r="J12">
        <v>0.54</v>
      </c>
    </row>
    <row r="13" spans="1:10" x14ac:dyDescent="0.3">
      <c r="A13">
        <v>18</v>
      </c>
      <c r="B13">
        <v>1</v>
      </c>
      <c r="D13" t="s">
        <v>58</v>
      </c>
      <c r="E13" s="3">
        <v>44098</v>
      </c>
      <c r="F13" t="s">
        <v>23</v>
      </c>
      <c r="G13" t="s">
        <v>25</v>
      </c>
      <c r="H13" t="s">
        <v>15</v>
      </c>
      <c r="I13">
        <v>2.06</v>
      </c>
      <c r="J13">
        <v>0.65</v>
      </c>
    </row>
    <row r="14" spans="1:10" x14ac:dyDescent="0.3">
      <c r="A14">
        <v>18</v>
      </c>
      <c r="B14">
        <v>1</v>
      </c>
      <c r="D14" t="s">
        <v>58</v>
      </c>
      <c r="E14" s="3">
        <v>44098</v>
      </c>
      <c r="F14" t="s">
        <v>23</v>
      </c>
      <c r="G14" t="s">
        <v>25</v>
      </c>
      <c r="H14" t="s">
        <v>15</v>
      </c>
      <c r="I14">
        <v>2.27</v>
      </c>
      <c r="J14">
        <v>0.67</v>
      </c>
    </row>
    <row r="15" spans="1:10" x14ac:dyDescent="0.3">
      <c r="A15">
        <v>18</v>
      </c>
      <c r="B15">
        <v>1</v>
      </c>
      <c r="D15" t="s">
        <v>58</v>
      </c>
      <c r="E15" s="3">
        <v>44098</v>
      </c>
      <c r="F15" t="s">
        <v>23</v>
      </c>
      <c r="G15" t="s">
        <v>25</v>
      </c>
      <c r="H15" t="s">
        <v>15</v>
      </c>
      <c r="I15">
        <v>2.31</v>
      </c>
      <c r="J15">
        <v>0.66</v>
      </c>
    </row>
    <row r="16" spans="1:10" x14ac:dyDescent="0.3">
      <c r="A16">
        <v>18</v>
      </c>
      <c r="B16">
        <v>1</v>
      </c>
      <c r="D16" t="s">
        <v>58</v>
      </c>
      <c r="E16" s="3">
        <v>44098</v>
      </c>
      <c r="F16" t="s">
        <v>23</v>
      </c>
      <c r="G16" t="s">
        <v>25</v>
      </c>
      <c r="H16" t="s">
        <v>15</v>
      </c>
      <c r="I16">
        <v>2.1</v>
      </c>
      <c r="J16">
        <v>0.65</v>
      </c>
    </row>
    <row r="17" spans="1:10" x14ac:dyDescent="0.3">
      <c r="A17">
        <v>18</v>
      </c>
      <c r="B17">
        <v>1</v>
      </c>
      <c r="D17" t="s">
        <v>58</v>
      </c>
      <c r="E17" s="3">
        <v>44098</v>
      </c>
      <c r="F17" t="s">
        <v>23</v>
      </c>
      <c r="G17" t="s">
        <v>25</v>
      </c>
      <c r="H17" t="s">
        <v>15</v>
      </c>
      <c r="I17">
        <v>2.1800000000000002</v>
      </c>
      <c r="J17">
        <v>0.71</v>
      </c>
    </row>
    <row r="18" spans="1:10" x14ac:dyDescent="0.3">
      <c r="A18">
        <v>18</v>
      </c>
      <c r="B18">
        <v>1</v>
      </c>
      <c r="D18" t="s">
        <v>58</v>
      </c>
      <c r="E18" s="3">
        <v>44098</v>
      </c>
      <c r="F18" t="s">
        <v>23</v>
      </c>
      <c r="G18" t="s">
        <v>25</v>
      </c>
      <c r="H18" t="s">
        <v>15</v>
      </c>
      <c r="I18">
        <v>1.96</v>
      </c>
      <c r="J18">
        <v>0.62</v>
      </c>
    </row>
    <row r="19" spans="1:10" x14ac:dyDescent="0.3">
      <c r="A19">
        <v>18</v>
      </c>
      <c r="B19">
        <v>1</v>
      </c>
      <c r="D19" t="s">
        <v>58</v>
      </c>
      <c r="E19" s="3">
        <v>44098</v>
      </c>
      <c r="F19" t="s">
        <v>23</v>
      </c>
      <c r="G19" t="s">
        <v>25</v>
      </c>
      <c r="H19" t="s">
        <v>15</v>
      </c>
      <c r="I19">
        <v>2.02</v>
      </c>
      <c r="J19">
        <v>0.61</v>
      </c>
    </row>
    <row r="20" spans="1:10" x14ac:dyDescent="0.3">
      <c r="A20">
        <v>18</v>
      </c>
      <c r="B20">
        <v>1</v>
      </c>
      <c r="D20" t="s">
        <v>58</v>
      </c>
      <c r="E20" s="3">
        <v>44098</v>
      </c>
      <c r="F20" t="s">
        <v>23</v>
      </c>
      <c r="G20" t="s">
        <v>25</v>
      </c>
      <c r="H20" t="s">
        <v>15</v>
      </c>
      <c r="I20">
        <v>1.98</v>
      </c>
      <c r="J20">
        <v>0.69</v>
      </c>
    </row>
    <row r="21" spans="1:10" x14ac:dyDescent="0.3">
      <c r="A21">
        <v>18</v>
      </c>
      <c r="B21">
        <v>1</v>
      </c>
      <c r="D21" t="s">
        <v>58</v>
      </c>
      <c r="E21" s="3">
        <v>44098</v>
      </c>
      <c r="F21" t="s">
        <v>23</v>
      </c>
      <c r="G21" t="s">
        <v>25</v>
      </c>
      <c r="H21" t="s">
        <v>15</v>
      </c>
      <c r="I21">
        <v>2.2799999999999998</v>
      </c>
      <c r="J21">
        <v>0.72</v>
      </c>
    </row>
    <row r="22" spans="1:10" x14ac:dyDescent="0.3">
      <c r="A22">
        <v>18</v>
      </c>
      <c r="B22">
        <v>1</v>
      </c>
      <c r="D22" t="s">
        <v>58</v>
      </c>
      <c r="E22" s="3">
        <v>44098</v>
      </c>
      <c r="F22" t="s">
        <v>23</v>
      </c>
      <c r="G22" t="s">
        <v>25</v>
      </c>
      <c r="H22" t="s">
        <v>15</v>
      </c>
      <c r="I22">
        <v>2.39</v>
      </c>
      <c r="J22">
        <v>0.79</v>
      </c>
    </row>
    <row r="23" spans="1:10" x14ac:dyDescent="0.3">
      <c r="A23">
        <v>18</v>
      </c>
      <c r="B23">
        <v>1</v>
      </c>
      <c r="D23" t="s">
        <v>58</v>
      </c>
      <c r="E23" s="3">
        <v>44098</v>
      </c>
      <c r="F23" t="s">
        <v>23</v>
      </c>
      <c r="G23" t="s">
        <v>25</v>
      </c>
      <c r="H23" t="s">
        <v>15</v>
      </c>
      <c r="I23">
        <v>2.12</v>
      </c>
      <c r="J23">
        <v>0.68</v>
      </c>
    </row>
    <row r="24" spans="1:10" x14ac:dyDescent="0.3">
      <c r="A24">
        <v>18</v>
      </c>
      <c r="B24">
        <v>1</v>
      </c>
      <c r="D24" t="s">
        <v>58</v>
      </c>
      <c r="E24" s="3">
        <v>44098</v>
      </c>
      <c r="F24" t="s">
        <v>23</v>
      </c>
      <c r="G24" t="s">
        <v>25</v>
      </c>
      <c r="H24" t="s">
        <v>15</v>
      </c>
      <c r="I24">
        <v>2.0499999999999998</v>
      </c>
      <c r="J24">
        <v>0.6</v>
      </c>
    </row>
    <row r="25" spans="1:10" x14ac:dyDescent="0.3">
      <c r="A25">
        <v>18</v>
      </c>
      <c r="B25">
        <v>1</v>
      </c>
      <c r="D25" t="s">
        <v>58</v>
      </c>
      <c r="E25" s="3">
        <v>44098</v>
      </c>
      <c r="F25" t="s">
        <v>23</v>
      </c>
      <c r="G25" t="s">
        <v>25</v>
      </c>
      <c r="H25" t="s">
        <v>15</v>
      </c>
      <c r="I25">
        <v>1.98</v>
      </c>
      <c r="J25">
        <v>0.61</v>
      </c>
    </row>
    <row r="26" spans="1:10" x14ac:dyDescent="0.3">
      <c r="A26">
        <v>18</v>
      </c>
      <c r="B26">
        <v>1</v>
      </c>
      <c r="D26" t="s">
        <v>58</v>
      </c>
      <c r="E26" s="3">
        <v>44098</v>
      </c>
      <c r="F26" t="s">
        <v>23</v>
      </c>
      <c r="G26" t="s">
        <v>25</v>
      </c>
      <c r="H26" t="s">
        <v>15</v>
      </c>
      <c r="I26">
        <v>1.94</v>
      </c>
      <c r="J26">
        <v>0.64</v>
      </c>
    </row>
    <row r="27" spans="1:10" x14ac:dyDescent="0.3">
      <c r="A27">
        <v>18</v>
      </c>
      <c r="B27">
        <v>1</v>
      </c>
      <c r="D27" t="s">
        <v>58</v>
      </c>
      <c r="E27" s="3">
        <v>44098</v>
      </c>
      <c r="F27" t="s">
        <v>23</v>
      </c>
      <c r="G27" t="s">
        <v>25</v>
      </c>
      <c r="H27" t="s">
        <v>15</v>
      </c>
      <c r="I27">
        <v>2.2799999999999998</v>
      </c>
      <c r="J27">
        <v>0.82</v>
      </c>
    </row>
    <row r="28" spans="1:10" x14ac:dyDescent="0.3">
      <c r="A28">
        <v>18</v>
      </c>
      <c r="B28">
        <v>1</v>
      </c>
      <c r="D28" t="s">
        <v>58</v>
      </c>
      <c r="E28" s="3">
        <v>44098</v>
      </c>
      <c r="F28" t="s">
        <v>23</v>
      </c>
      <c r="G28" t="s">
        <v>25</v>
      </c>
      <c r="H28" t="s">
        <v>15</v>
      </c>
      <c r="I28">
        <v>2.3199999999999998</v>
      </c>
      <c r="J28">
        <v>0.75</v>
      </c>
    </row>
    <row r="29" spans="1:10" x14ac:dyDescent="0.3">
      <c r="A29">
        <v>18</v>
      </c>
      <c r="B29">
        <v>1</v>
      </c>
      <c r="D29" t="s">
        <v>58</v>
      </c>
      <c r="E29" s="3">
        <v>44098</v>
      </c>
      <c r="F29" t="s">
        <v>23</v>
      </c>
      <c r="G29" t="s">
        <v>25</v>
      </c>
      <c r="H29" t="s">
        <v>15</v>
      </c>
      <c r="I29">
        <v>2.33</v>
      </c>
      <c r="J29">
        <v>0.73</v>
      </c>
    </row>
    <row r="30" spans="1:10" x14ac:dyDescent="0.3">
      <c r="A30">
        <v>18</v>
      </c>
      <c r="B30">
        <v>1</v>
      </c>
      <c r="D30" t="s">
        <v>58</v>
      </c>
      <c r="E30" s="3">
        <v>44098</v>
      </c>
      <c r="F30" t="s">
        <v>23</v>
      </c>
      <c r="G30" t="s">
        <v>25</v>
      </c>
      <c r="H30" t="s">
        <v>15</v>
      </c>
      <c r="I30">
        <v>2.4900000000000002</v>
      </c>
      <c r="J30">
        <v>0.76</v>
      </c>
    </row>
    <row r="31" spans="1:10" x14ac:dyDescent="0.3">
      <c r="A31">
        <v>18</v>
      </c>
      <c r="B31">
        <v>1</v>
      </c>
      <c r="D31" t="s">
        <v>58</v>
      </c>
      <c r="E31" s="3">
        <v>44098</v>
      </c>
      <c r="F31" t="s">
        <v>23</v>
      </c>
      <c r="G31" t="s">
        <v>25</v>
      </c>
      <c r="H31" t="s">
        <v>15</v>
      </c>
      <c r="I31">
        <v>1.99</v>
      </c>
      <c r="J31">
        <v>0.56000000000000005</v>
      </c>
    </row>
    <row r="32" spans="1:10" x14ac:dyDescent="0.3">
      <c r="A32">
        <v>18</v>
      </c>
      <c r="B32">
        <v>1</v>
      </c>
      <c r="D32" t="s">
        <v>58</v>
      </c>
      <c r="E32" s="3">
        <v>44098</v>
      </c>
      <c r="F32" t="s">
        <v>23</v>
      </c>
      <c r="G32" t="s">
        <v>25</v>
      </c>
      <c r="H32" t="s">
        <v>15</v>
      </c>
      <c r="I32">
        <v>2.13</v>
      </c>
      <c r="J32">
        <v>0.61</v>
      </c>
    </row>
    <row r="33" spans="1:10" x14ac:dyDescent="0.3">
      <c r="A33">
        <v>18</v>
      </c>
      <c r="B33">
        <v>1</v>
      </c>
      <c r="D33" t="s">
        <v>58</v>
      </c>
      <c r="E33" s="3">
        <v>44098</v>
      </c>
      <c r="F33" t="s">
        <v>23</v>
      </c>
      <c r="G33" t="s">
        <v>25</v>
      </c>
      <c r="H33" t="s">
        <v>15</v>
      </c>
      <c r="I33">
        <v>2.0299999999999998</v>
      </c>
      <c r="J33">
        <v>0.6</v>
      </c>
    </row>
    <row r="34" spans="1:10" x14ac:dyDescent="0.3">
      <c r="A34">
        <v>18</v>
      </c>
      <c r="B34">
        <v>1</v>
      </c>
      <c r="D34" t="s">
        <v>58</v>
      </c>
      <c r="E34" s="3">
        <v>44098</v>
      </c>
      <c r="F34" t="s">
        <v>23</v>
      </c>
      <c r="G34" t="s">
        <v>25</v>
      </c>
      <c r="H34" t="s">
        <v>15</v>
      </c>
      <c r="I34">
        <v>1.89</v>
      </c>
      <c r="J34">
        <v>0.6</v>
      </c>
    </row>
    <row r="35" spans="1:10" x14ac:dyDescent="0.3">
      <c r="A35">
        <v>18</v>
      </c>
      <c r="B35">
        <v>1</v>
      </c>
      <c r="D35" t="s">
        <v>58</v>
      </c>
      <c r="E35" s="3">
        <v>44098</v>
      </c>
      <c r="F35" t="s">
        <v>23</v>
      </c>
      <c r="G35" t="s">
        <v>25</v>
      </c>
      <c r="H35" t="s">
        <v>15</v>
      </c>
      <c r="I35">
        <v>2.38</v>
      </c>
      <c r="J35">
        <v>0.73</v>
      </c>
    </row>
    <row r="36" spans="1:10" x14ac:dyDescent="0.3">
      <c r="A36">
        <v>18</v>
      </c>
      <c r="B36">
        <v>1</v>
      </c>
      <c r="D36" t="s">
        <v>58</v>
      </c>
      <c r="E36" s="3">
        <v>44098</v>
      </c>
      <c r="F36" t="s">
        <v>23</v>
      </c>
      <c r="G36" t="s">
        <v>25</v>
      </c>
      <c r="H36" t="s">
        <v>15</v>
      </c>
      <c r="I36">
        <v>2.04</v>
      </c>
      <c r="J36">
        <v>0.64</v>
      </c>
    </row>
    <row r="37" spans="1:10" x14ac:dyDescent="0.3">
      <c r="A37">
        <v>18</v>
      </c>
      <c r="B37">
        <v>1</v>
      </c>
      <c r="D37" t="s">
        <v>58</v>
      </c>
      <c r="E37" s="3">
        <v>44098</v>
      </c>
      <c r="F37" t="s">
        <v>23</v>
      </c>
      <c r="G37" t="s">
        <v>25</v>
      </c>
      <c r="H37" t="s">
        <v>15</v>
      </c>
      <c r="I37">
        <v>1.96</v>
      </c>
      <c r="J37">
        <v>0.62</v>
      </c>
    </row>
    <row r="38" spans="1:10" x14ac:dyDescent="0.3">
      <c r="A38">
        <v>18</v>
      </c>
      <c r="B38">
        <v>1</v>
      </c>
      <c r="D38" t="s">
        <v>58</v>
      </c>
      <c r="E38" s="3">
        <v>44098</v>
      </c>
      <c r="F38" t="s">
        <v>23</v>
      </c>
      <c r="G38" t="s">
        <v>25</v>
      </c>
      <c r="H38" t="s">
        <v>15</v>
      </c>
      <c r="I38">
        <v>2.1800000000000002</v>
      </c>
      <c r="J38">
        <v>0.72</v>
      </c>
    </row>
    <row r="39" spans="1:10" x14ac:dyDescent="0.3">
      <c r="A39">
        <v>18</v>
      </c>
      <c r="B39">
        <v>1</v>
      </c>
      <c r="D39" t="s">
        <v>58</v>
      </c>
      <c r="E39" s="3">
        <v>44098</v>
      </c>
      <c r="F39" t="s">
        <v>23</v>
      </c>
      <c r="G39" t="s">
        <v>25</v>
      </c>
      <c r="H39" t="s">
        <v>15</v>
      </c>
      <c r="I39">
        <v>1.98</v>
      </c>
      <c r="J39">
        <v>0.56000000000000005</v>
      </c>
    </row>
    <row r="40" spans="1:10" x14ac:dyDescent="0.3">
      <c r="A40">
        <v>18</v>
      </c>
      <c r="B40">
        <v>1</v>
      </c>
      <c r="D40" t="s">
        <v>58</v>
      </c>
      <c r="E40" s="3">
        <v>44098</v>
      </c>
      <c r="F40" t="s">
        <v>23</v>
      </c>
      <c r="G40" t="s">
        <v>25</v>
      </c>
      <c r="H40" t="s">
        <v>15</v>
      </c>
      <c r="I40">
        <v>2.23</v>
      </c>
      <c r="J40">
        <v>0.72</v>
      </c>
    </row>
    <row r="41" spans="1:10" x14ac:dyDescent="0.3">
      <c r="A41">
        <v>18</v>
      </c>
      <c r="B41">
        <v>1</v>
      </c>
      <c r="D41" t="s">
        <v>58</v>
      </c>
      <c r="E41" s="3">
        <v>44098</v>
      </c>
      <c r="F41" t="s">
        <v>23</v>
      </c>
      <c r="G41" t="s">
        <v>25</v>
      </c>
      <c r="H41" t="s">
        <v>15</v>
      </c>
      <c r="I41">
        <v>2.42</v>
      </c>
      <c r="J41">
        <v>0.8</v>
      </c>
    </row>
    <row r="42" spans="1:10" x14ac:dyDescent="0.3">
      <c r="A42">
        <v>18</v>
      </c>
      <c r="B42">
        <v>1</v>
      </c>
      <c r="D42" t="s">
        <v>58</v>
      </c>
      <c r="E42" s="3">
        <v>44098</v>
      </c>
      <c r="F42" t="s">
        <v>23</v>
      </c>
      <c r="G42" t="s">
        <v>25</v>
      </c>
      <c r="H42" t="s">
        <v>15</v>
      </c>
      <c r="I42">
        <v>2.41</v>
      </c>
      <c r="J42">
        <v>0.81</v>
      </c>
    </row>
    <row r="43" spans="1:10" x14ac:dyDescent="0.3">
      <c r="A43">
        <v>18</v>
      </c>
      <c r="B43">
        <v>1</v>
      </c>
      <c r="D43" t="s">
        <v>58</v>
      </c>
      <c r="E43" s="3">
        <v>44098</v>
      </c>
      <c r="F43" t="s">
        <v>23</v>
      </c>
      <c r="G43" t="s">
        <v>25</v>
      </c>
      <c r="H43" t="s">
        <v>15</v>
      </c>
      <c r="I43">
        <v>2.54</v>
      </c>
      <c r="J43">
        <v>0.93</v>
      </c>
    </row>
    <row r="44" spans="1:10" x14ac:dyDescent="0.3">
      <c r="A44">
        <v>18</v>
      </c>
      <c r="B44">
        <v>1</v>
      </c>
      <c r="D44" t="s">
        <v>58</v>
      </c>
      <c r="E44" s="3">
        <v>44098</v>
      </c>
      <c r="F44" t="s">
        <v>23</v>
      </c>
      <c r="G44" t="s">
        <v>25</v>
      </c>
      <c r="H44" t="s">
        <v>15</v>
      </c>
      <c r="I44">
        <v>2.2799999999999998</v>
      </c>
      <c r="J44">
        <v>0.7</v>
      </c>
    </row>
    <row r="45" spans="1:10" x14ac:dyDescent="0.3">
      <c r="A45">
        <v>18</v>
      </c>
      <c r="B45">
        <v>1</v>
      </c>
      <c r="D45" t="s">
        <v>58</v>
      </c>
      <c r="E45" s="3">
        <v>44098</v>
      </c>
      <c r="F45" t="s">
        <v>23</v>
      </c>
      <c r="G45" t="s">
        <v>25</v>
      </c>
      <c r="H45" t="s">
        <v>15</v>
      </c>
      <c r="I45">
        <v>2.5299999999999998</v>
      </c>
      <c r="J45">
        <v>0.8</v>
      </c>
    </row>
    <row r="46" spans="1:10" x14ac:dyDescent="0.3">
      <c r="A46">
        <v>18</v>
      </c>
      <c r="B46">
        <v>1</v>
      </c>
      <c r="D46" t="s">
        <v>58</v>
      </c>
      <c r="E46" s="3">
        <v>44098</v>
      </c>
      <c r="F46" t="s">
        <v>23</v>
      </c>
      <c r="G46" t="s">
        <v>25</v>
      </c>
      <c r="H46" t="s">
        <v>15</v>
      </c>
      <c r="I46">
        <v>2.48</v>
      </c>
      <c r="J46">
        <v>0.7</v>
      </c>
    </row>
    <row r="47" spans="1:10" x14ac:dyDescent="0.3">
      <c r="A47">
        <v>18</v>
      </c>
      <c r="B47">
        <v>1</v>
      </c>
      <c r="D47" t="s">
        <v>58</v>
      </c>
      <c r="E47" s="3">
        <v>44098</v>
      </c>
      <c r="F47" t="s">
        <v>23</v>
      </c>
      <c r="G47" t="s">
        <v>25</v>
      </c>
      <c r="H47" t="s">
        <v>15</v>
      </c>
      <c r="I47">
        <v>2</v>
      </c>
      <c r="J47">
        <v>0.55000000000000004</v>
      </c>
    </row>
    <row r="48" spans="1:10" x14ac:dyDescent="0.3">
      <c r="A48">
        <v>18</v>
      </c>
      <c r="B48">
        <v>1</v>
      </c>
      <c r="D48" t="s">
        <v>58</v>
      </c>
      <c r="E48" s="3">
        <v>44098</v>
      </c>
      <c r="F48" t="s">
        <v>23</v>
      </c>
      <c r="G48" t="s">
        <v>25</v>
      </c>
      <c r="H48" t="s">
        <v>15</v>
      </c>
      <c r="I48">
        <v>2.0099999999999998</v>
      </c>
      <c r="J48">
        <v>0.56000000000000005</v>
      </c>
    </row>
    <row r="49" spans="1:10" x14ac:dyDescent="0.3">
      <c r="A49">
        <v>18</v>
      </c>
      <c r="B49">
        <v>1</v>
      </c>
      <c r="D49" t="s">
        <v>58</v>
      </c>
      <c r="E49" s="3">
        <v>44098</v>
      </c>
      <c r="F49" t="s">
        <v>23</v>
      </c>
      <c r="G49" t="s">
        <v>25</v>
      </c>
      <c r="H49" t="s">
        <v>15</v>
      </c>
      <c r="I49">
        <v>2.08</v>
      </c>
      <c r="J49">
        <v>0.68</v>
      </c>
    </row>
    <row r="50" spans="1:10" x14ac:dyDescent="0.3">
      <c r="A50">
        <v>18</v>
      </c>
      <c r="B50">
        <v>1</v>
      </c>
      <c r="D50" t="s">
        <v>58</v>
      </c>
      <c r="E50" s="3">
        <v>44098</v>
      </c>
      <c r="F50" t="s">
        <v>23</v>
      </c>
      <c r="G50" t="s">
        <v>25</v>
      </c>
      <c r="H50" t="s">
        <v>15</v>
      </c>
      <c r="I50">
        <v>2.06</v>
      </c>
      <c r="J50">
        <v>0.63</v>
      </c>
    </row>
    <row r="51" spans="1:10" x14ac:dyDescent="0.3">
      <c r="A51">
        <v>18</v>
      </c>
      <c r="B51">
        <v>1</v>
      </c>
      <c r="D51" t="s">
        <v>58</v>
      </c>
      <c r="E51" s="3">
        <v>44098</v>
      </c>
      <c r="F51" t="s">
        <v>23</v>
      </c>
      <c r="G51" t="s">
        <v>25</v>
      </c>
      <c r="H51" t="s">
        <v>15</v>
      </c>
      <c r="I51">
        <v>1.91</v>
      </c>
      <c r="J51">
        <v>0.57999999999999996</v>
      </c>
    </row>
    <row r="52" spans="1:10" x14ac:dyDescent="0.3">
      <c r="A52">
        <v>18</v>
      </c>
      <c r="B52">
        <v>1</v>
      </c>
      <c r="D52" t="s">
        <v>58</v>
      </c>
      <c r="E52" s="3">
        <v>44098</v>
      </c>
      <c r="F52" t="s">
        <v>23</v>
      </c>
      <c r="G52" t="s">
        <v>25</v>
      </c>
      <c r="H52" t="s">
        <v>15</v>
      </c>
      <c r="I52">
        <v>2.39</v>
      </c>
      <c r="J52">
        <v>0.79</v>
      </c>
    </row>
    <row r="53" spans="1:10" x14ac:dyDescent="0.3">
      <c r="A53">
        <v>18</v>
      </c>
      <c r="B53">
        <v>1</v>
      </c>
      <c r="D53" t="s">
        <v>58</v>
      </c>
      <c r="E53" s="3">
        <v>44098</v>
      </c>
      <c r="F53" t="s">
        <v>23</v>
      </c>
      <c r="G53" t="s">
        <v>25</v>
      </c>
      <c r="H53" t="s">
        <v>15</v>
      </c>
      <c r="I53">
        <v>2.1800000000000002</v>
      </c>
      <c r="J53">
        <v>0.73</v>
      </c>
    </row>
    <row r="54" spans="1:10" x14ac:dyDescent="0.3">
      <c r="A54">
        <v>18</v>
      </c>
      <c r="B54">
        <v>1</v>
      </c>
      <c r="D54" t="s">
        <v>58</v>
      </c>
      <c r="E54" s="3">
        <v>44098</v>
      </c>
      <c r="F54" t="s">
        <v>23</v>
      </c>
      <c r="G54" t="s">
        <v>25</v>
      </c>
      <c r="H54" t="s">
        <v>15</v>
      </c>
      <c r="I54">
        <v>2.11</v>
      </c>
      <c r="J54">
        <v>0.65</v>
      </c>
    </row>
    <row r="55" spans="1:10" x14ac:dyDescent="0.3">
      <c r="A55">
        <v>18</v>
      </c>
      <c r="B55">
        <v>1</v>
      </c>
      <c r="D55" t="s">
        <v>58</v>
      </c>
      <c r="E55" s="3">
        <v>44098</v>
      </c>
      <c r="F55" t="s">
        <v>23</v>
      </c>
      <c r="G55" t="s">
        <v>25</v>
      </c>
      <c r="H55" t="s">
        <v>15</v>
      </c>
      <c r="I55">
        <v>2.5099999999999998</v>
      </c>
      <c r="J55">
        <v>0.85</v>
      </c>
    </row>
    <row r="56" spans="1:10" x14ac:dyDescent="0.3">
      <c r="A56">
        <v>18</v>
      </c>
      <c r="B56">
        <v>1</v>
      </c>
      <c r="D56" t="s">
        <v>58</v>
      </c>
      <c r="E56" s="3">
        <v>44098</v>
      </c>
      <c r="F56" t="s">
        <v>23</v>
      </c>
      <c r="G56" t="s">
        <v>25</v>
      </c>
      <c r="H56" t="s">
        <v>15</v>
      </c>
      <c r="I56">
        <v>2.63</v>
      </c>
      <c r="J56">
        <v>0.93</v>
      </c>
    </row>
    <row r="57" spans="1:10" x14ac:dyDescent="0.3">
      <c r="A57">
        <v>18</v>
      </c>
      <c r="B57">
        <v>1</v>
      </c>
      <c r="D57" t="s">
        <v>58</v>
      </c>
      <c r="E57" s="3">
        <v>44098</v>
      </c>
      <c r="F57" t="s">
        <v>23</v>
      </c>
      <c r="G57" t="s">
        <v>25</v>
      </c>
      <c r="H57" t="s">
        <v>15</v>
      </c>
      <c r="I57">
        <v>2.31</v>
      </c>
      <c r="J57">
        <v>0.81</v>
      </c>
    </row>
    <row r="58" spans="1:10" x14ac:dyDescent="0.3">
      <c r="A58">
        <v>18</v>
      </c>
      <c r="B58">
        <v>1</v>
      </c>
      <c r="D58" t="s">
        <v>58</v>
      </c>
      <c r="E58" s="3">
        <v>44098</v>
      </c>
      <c r="F58" t="s">
        <v>23</v>
      </c>
      <c r="G58" t="s">
        <v>25</v>
      </c>
      <c r="H58" t="s">
        <v>15</v>
      </c>
      <c r="I58">
        <v>2.31</v>
      </c>
      <c r="J58">
        <v>0.73</v>
      </c>
    </row>
    <row r="59" spans="1:10" x14ac:dyDescent="0.3">
      <c r="A59">
        <v>18</v>
      </c>
      <c r="B59">
        <v>1</v>
      </c>
      <c r="D59" t="s">
        <v>58</v>
      </c>
      <c r="E59" s="3">
        <v>44098</v>
      </c>
      <c r="F59" t="s">
        <v>23</v>
      </c>
      <c r="G59" t="s">
        <v>25</v>
      </c>
      <c r="H59" t="s">
        <v>15</v>
      </c>
      <c r="I59">
        <v>2.0499999999999998</v>
      </c>
      <c r="J59">
        <v>0.65</v>
      </c>
    </row>
    <row r="60" spans="1:10" x14ac:dyDescent="0.3">
      <c r="A60">
        <v>18</v>
      </c>
      <c r="B60">
        <v>1</v>
      </c>
      <c r="D60" t="s">
        <v>58</v>
      </c>
      <c r="E60" s="3">
        <v>44098</v>
      </c>
      <c r="F60" t="s">
        <v>23</v>
      </c>
      <c r="G60" t="s">
        <v>25</v>
      </c>
      <c r="H60" t="s">
        <v>15</v>
      </c>
      <c r="I60">
        <v>2.2599999999999998</v>
      </c>
      <c r="J60">
        <v>0.71</v>
      </c>
    </row>
    <row r="61" spans="1:10" x14ac:dyDescent="0.3">
      <c r="A61">
        <v>18</v>
      </c>
      <c r="B61">
        <v>1</v>
      </c>
      <c r="D61" t="s">
        <v>58</v>
      </c>
      <c r="E61" s="3">
        <v>44098</v>
      </c>
      <c r="F61" t="s">
        <v>23</v>
      </c>
      <c r="G61" t="s">
        <v>25</v>
      </c>
      <c r="H61" t="s">
        <v>15</v>
      </c>
      <c r="I61">
        <v>2.27</v>
      </c>
      <c r="J61">
        <v>0.78</v>
      </c>
    </row>
    <row r="62" spans="1:10" x14ac:dyDescent="0.3">
      <c r="A62">
        <v>18</v>
      </c>
      <c r="B62">
        <v>1</v>
      </c>
      <c r="D62" t="s">
        <v>58</v>
      </c>
      <c r="E62" s="3">
        <v>44098</v>
      </c>
      <c r="F62" t="s">
        <v>23</v>
      </c>
      <c r="G62" t="s">
        <v>25</v>
      </c>
      <c r="H62" t="s">
        <v>15</v>
      </c>
      <c r="I62">
        <v>2.1</v>
      </c>
      <c r="J62">
        <v>0.69</v>
      </c>
    </row>
    <row r="63" spans="1:10" x14ac:dyDescent="0.3">
      <c r="A63">
        <v>18</v>
      </c>
      <c r="B63">
        <v>1</v>
      </c>
      <c r="D63" t="s">
        <v>58</v>
      </c>
      <c r="E63" s="3">
        <v>44098</v>
      </c>
      <c r="F63" t="s">
        <v>23</v>
      </c>
      <c r="G63" t="s">
        <v>25</v>
      </c>
      <c r="H63" t="s">
        <v>15</v>
      </c>
      <c r="I63">
        <v>2.5</v>
      </c>
      <c r="J63">
        <v>0.83</v>
      </c>
    </row>
    <row r="64" spans="1:10" x14ac:dyDescent="0.3">
      <c r="A64">
        <v>18</v>
      </c>
      <c r="B64">
        <v>1</v>
      </c>
      <c r="D64" t="s">
        <v>58</v>
      </c>
      <c r="E64" s="3">
        <v>44098</v>
      </c>
      <c r="F64" t="s">
        <v>23</v>
      </c>
      <c r="G64" t="s">
        <v>25</v>
      </c>
      <c r="H64" t="s">
        <v>15</v>
      </c>
      <c r="I64">
        <v>2.25</v>
      </c>
      <c r="J64">
        <v>0.67</v>
      </c>
    </row>
    <row r="65" spans="1:11" x14ac:dyDescent="0.3">
      <c r="A65">
        <v>18</v>
      </c>
      <c r="B65">
        <v>1</v>
      </c>
      <c r="D65" t="s">
        <v>58</v>
      </c>
      <c r="E65" s="3">
        <v>44098</v>
      </c>
      <c r="F65" t="s">
        <v>23</v>
      </c>
      <c r="G65" t="s">
        <v>25</v>
      </c>
      <c r="H65" t="s">
        <v>15</v>
      </c>
      <c r="I65">
        <v>2.12</v>
      </c>
      <c r="J65">
        <v>0.65</v>
      </c>
    </row>
    <row r="66" spans="1:11" x14ac:dyDescent="0.3">
      <c r="A66">
        <v>18</v>
      </c>
      <c r="B66">
        <v>1</v>
      </c>
      <c r="D66" t="s">
        <v>58</v>
      </c>
      <c r="E66" s="3">
        <v>44098</v>
      </c>
      <c r="F66" t="s">
        <v>23</v>
      </c>
      <c r="G66" t="s">
        <v>25</v>
      </c>
      <c r="H66" t="s">
        <v>15</v>
      </c>
      <c r="I66">
        <v>2.17</v>
      </c>
      <c r="J66">
        <v>0.73</v>
      </c>
    </row>
    <row r="67" spans="1:11" x14ac:dyDescent="0.3">
      <c r="A67">
        <v>18</v>
      </c>
      <c r="B67">
        <v>1</v>
      </c>
      <c r="D67" t="s">
        <v>58</v>
      </c>
      <c r="E67" s="3">
        <v>44098</v>
      </c>
      <c r="F67" t="s">
        <v>23</v>
      </c>
      <c r="G67" t="s">
        <v>25</v>
      </c>
      <c r="H67" t="s">
        <v>15</v>
      </c>
      <c r="I67">
        <v>2.15</v>
      </c>
      <c r="J67">
        <v>0.6</v>
      </c>
    </row>
    <row r="68" spans="1:11" x14ac:dyDescent="0.3">
      <c r="A68">
        <v>18</v>
      </c>
      <c r="B68">
        <v>1</v>
      </c>
      <c r="D68" t="s">
        <v>58</v>
      </c>
      <c r="E68" s="3">
        <v>44098</v>
      </c>
      <c r="F68" t="s">
        <v>23</v>
      </c>
      <c r="G68" t="s">
        <v>25</v>
      </c>
      <c r="H68" t="s">
        <v>15</v>
      </c>
      <c r="I68">
        <v>1.92</v>
      </c>
      <c r="J68">
        <v>0.64</v>
      </c>
    </row>
    <row r="69" spans="1:11" x14ac:dyDescent="0.3">
      <c r="A69">
        <v>18</v>
      </c>
      <c r="B69">
        <v>1</v>
      </c>
      <c r="D69" t="s">
        <v>58</v>
      </c>
      <c r="E69" s="3">
        <v>44098</v>
      </c>
      <c r="F69" t="s">
        <v>23</v>
      </c>
      <c r="G69" t="s">
        <v>25</v>
      </c>
      <c r="H69" t="s">
        <v>15</v>
      </c>
      <c r="I69">
        <v>2.04</v>
      </c>
      <c r="J69">
        <v>0.61</v>
      </c>
    </row>
    <row r="70" spans="1:11" x14ac:dyDescent="0.3">
      <c r="A70">
        <v>18</v>
      </c>
      <c r="B70">
        <v>1</v>
      </c>
      <c r="D70" t="s">
        <v>58</v>
      </c>
      <c r="E70" s="3">
        <v>44098</v>
      </c>
      <c r="F70" t="s">
        <v>23</v>
      </c>
      <c r="G70" t="s">
        <v>27</v>
      </c>
      <c r="H70" t="s">
        <v>14</v>
      </c>
      <c r="I70">
        <v>2.46</v>
      </c>
      <c r="J70">
        <v>0.77</v>
      </c>
    </row>
    <row r="71" spans="1:11" x14ac:dyDescent="0.3">
      <c r="A71">
        <v>18</v>
      </c>
      <c r="B71">
        <v>1</v>
      </c>
      <c r="D71" t="s">
        <v>58</v>
      </c>
      <c r="E71" s="3">
        <v>44098</v>
      </c>
      <c r="F71" t="s">
        <v>23</v>
      </c>
      <c r="G71" t="s">
        <v>27</v>
      </c>
      <c r="H71" t="s">
        <v>14</v>
      </c>
      <c r="I71">
        <v>2.04</v>
      </c>
      <c r="J71">
        <v>0.55000000000000004</v>
      </c>
    </row>
    <row r="72" spans="1:11" x14ac:dyDescent="0.3">
      <c r="A72">
        <v>18</v>
      </c>
      <c r="B72">
        <v>1</v>
      </c>
      <c r="D72" t="s">
        <v>58</v>
      </c>
      <c r="E72" s="3">
        <v>44098</v>
      </c>
      <c r="F72" t="s">
        <v>23</v>
      </c>
      <c r="G72" t="s">
        <v>27</v>
      </c>
      <c r="H72" t="s">
        <v>15</v>
      </c>
      <c r="I72">
        <v>2.74</v>
      </c>
      <c r="J72">
        <v>0.98</v>
      </c>
    </row>
    <row r="73" spans="1:11" x14ac:dyDescent="0.3">
      <c r="A73">
        <v>18</v>
      </c>
      <c r="B73">
        <v>1</v>
      </c>
      <c r="D73" t="s">
        <v>58</v>
      </c>
      <c r="E73" s="3">
        <v>44098</v>
      </c>
      <c r="F73" t="s">
        <v>23</v>
      </c>
      <c r="G73" t="s">
        <v>27</v>
      </c>
      <c r="H73" t="s">
        <v>15</v>
      </c>
      <c r="I73">
        <v>2.81</v>
      </c>
      <c r="J73">
        <v>0.87</v>
      </c>
    </row>
    <row r="74" spans="1:11" x14ac:dyDescent="0.3">
      <c r="A74">
        <v>18</v>
      </c>
      <c r="B74">
        <v>1</v>
      </c>
      <c r="D74" t="s">
        <v>58</v>
      </c>
      <c r="E74" s="3">
        <v>44098</v>
      </c>
      <c r="F74" t="s">
        <v>23</v>
      </c>
      <c r="G74" t="s">
        <v>27</v>
      </c>
      <c r="H74" t="s">
        <v>15</v>
      </c>
      <c r="I74">
        <v>2.8</v>
      </c>
      <c r="J74">
        <v>0.72</v>
      </c>
    </row>
    <row r="75" spans="1:11" x14ac:dyDescent="0.3">
      <c r="A75">
        <v>18</v>
      </c>
      <c r="B75">
        <v>1</v>
      </c>
      <c r="D75" t="s">
        <v>58</v>
      </c>
      <c r="E75" s="3">
        <v>44098</v>
      </c>
      <c r="F75" t="s">
        <v>23</v>
      </c>
      <c r="G75" t="s">
        <v>59</v>
      </c>
      <c r="H75" t="s">
        <v>15</v>
      </c>
      <c r="I75">
        <v>3.85</v>
      </c>
      <c r="J75">
        <v>1.38</v>
      </c>
    </row>
    <row r="76" spans="1:11" x14ac:dyDescent="0.3">
      <c r="A76">
        <v>18</v>
      </c>
      <c r="B76">
        <v>1</v>
      </c>
      <c r="D76" t="s">
        <v>58</v>
      </c>
      <c r="E76" s="3">
        <v>44098</v>
      </c>
      <c r="F76" t="s">
        <v>23</v>
      </c>
      <c r="G76" t="s">
        <v>59</v>
      </c>
      <c r="H76" t="s">
        <v>15</v>
      </c>
      <c r="I76">
        <v>4.54</v>
      </c>
      <c r="J76">
        <v>1.6</v>
      </c>
    </row>
    <row r="77" spans="1:11" x14ac:dyDescent="0.3">
      <c r="A77">
        <v>18</v>
      </c>
      <c r="B77">
        <v>1</v>
      </c>
      <c r="D77" t="s">
        <v>58</v>
      </c>
      <c r="E77" s="3">
        <v>44098</v>
      </c>
      <c r="F77" t="s">
        <v>23</v>
      </c>
      <c r="G77" t="s">
        <v>60</v>
      </c>
      <c r="I77">
        <v>5.0469999999999997</v>
      </c>
      <c r="J77">
        <v>0.58099999999999996</v>
      </c>
      <c r="K77" t="s">
        <v>110</v>
      </c>
    </row>
    <row r="78" spans="1:11" x14ac:dyDescent="0.3">
      <c r="A78">
        <v>18</v>
      </c>
      <c r="B78">
        <v>1</v>
      </c>
      <c r="D78" t="s">
        <v>58</v>
      </c>
      <c r="E78" s="3">
        <v>44098</v>
      </c>
      <c r="F78" t="s">
        <v>23</v>
      </c>
      <c r="G78" t="s">
        <v>60</v>
      </c>
      <c r="I78">
        <v>4.78</v>
      </c>
      <c r="J78">
        <v>0.87</v>
      </c>
      <c r="K78" t="s">
        <v>110</v>
      </c>
    </row>
    <row r="79" spans="1:11" x14ac:dyDescent="0.3">
      <c r="A79">
        <v>18</v>
      </c>
      <c r="B79">
        <v>1</v>
      </c>
      <c r="D79" t="s">
        <v>58</v>
      </c>
      <c r="E79" s="3">
        <v>44098</v>
      </c>
      <c r="F79" t="s">
        <v>23</v>
      </c>
      <c r="G79" t="s">
        <v>60</v>
      </c>
      <c r="I79">
        <v>4.4370000000000003</v>
      </c>
      <c r="J79">
        <v>0.45</v>
      </c>
      <c r="K79" t="s">
        <v>110</v>
      </c>
    </row>
    <row r="80" spans="1:11" x14ac:dyDescent="0.3">
      <c r="A80">
        <v>18</v>
      </c>
      <c r="B80">
        <v>1</v>
      </c>
      <c r="D80" t="s">
        <v>58</v>
      </c>
      <c r="E80" s="3">
        <v>44098</v>
      </c>
      <c r="F80" t="s">
        <v>23</v>
      </c>
      <c r="G80" t="s">
        <v>60</v>
      </c>
      <c r="I80">
        <v>4.0279999999999996</v>
      </c>
      <c r="J80">
        <v>2.4</v>
      </c>
      <c r="K80" t="s">
        <v>110</v>
      </c>
    </row>
    <row r="81" spans="1:11" x14ac:dyDescent="0.3">
      <c r="A81">
        <v>18</v>
      </c>
      <c r="B81">
        <v>1</v>
      </c>
      <c r="D81" t="s">
        <v>58</v>
      </c>
      <c r="E81" s="3">
        <v>44098</v>
      </c>
      <c r="F81" t="s">
        <v>23</v>
      </c>
      <c r="G81" t="s">
        <v>60</v>
      </c>
      <c r="I81">
        <v>1.42</v>
      </c>
      <c r="J81">
        <v>0.98</v>
      </c>
      <c r="K81" t="s">
        <v>110</v>
      </c>
    </row>
    <row r="82" spans="1:11" x14ac:dyDescent="0.3">
      <c r="A82">
        <v>18</v>
      </c>
      <c r="B82">
        <v>1</v>
      </c>
      <c r="D82" t="s">
        <v>58</v>
      </c>
      <c r="E82" s="3">
        <v>44098</v>
      </c>
      <c r="F82" t="s">
        <v>23</v>
      </c>
      <c r="G82" t="s">
        <v>60</v>
      </c>
      <c r="I82">
        <v>9.2279999999999998</v>
      </c>
      <c r="J82">
        <v>7.49</v>
      </c>
    </row>
    <row r="83" spans="1:11" x14ac:dyDescent="0.3">
      <c r="A83">
        <v>18</v>
      </c>
      <c r="B83">
        <v>1</v>
      </c>
      <c r="D83" t="s">
        <v>58</v>
      </c>
      <c r="E83" s="3">
        <v>44098</v>
      </c>
      <c r="F83" t="s">
        <v>23</v>
      </c>
      <c r="G83" t="s">
        <v>60</v>
      </c>
      <c r="I83">
        <v>5.93</v>
      </c>
      <c r="J83">
        <v>3.67</v>
      </c>
    </row>
    <row r="84" spans="1:11" x14ac:dyDescent="0.3">
      <c r="A84">
        <v>18</v>
      </c>
      <c r="B84">
        <v>1</v>
      </c>
      <c r="D84" t="s">
        <v>58</v>
      </c>
      <c r="E84" s="3">
        <v>44098</v>
      </c>
      <c r="F84" t="s">
        <v>23</v>
      </c>
      <c r="G84" t="s">
        <v>60</v>
      </c>
      <c r="I84">
        <v>2.09</v>
      </c>
      <c r="J84">
        <v>1.87</v>
      </c>
    </row>
    <row r="85" spans="1:11" x14ac:dyDescent="0.3">
      <c r="A85">
        <v>18</v>
      </c>
      <c r="B85">
        <v>1</v>
      </c>
      <c r="D85" t="s">
        <v>58</v>
      </c>
      <c r="E85" s="3">
        <v>44098</v>
      </c>
      <c r="F85" t="s">
        <v>23</v>
      </c>
      <c r="G85" t="s">
        <v>60</v>
      </c>
      <c r="I85">
        <v>1.88</v>
      </c>
      <c r="J85">
        <v>2.0099999999999998</v>
      </c>
    </row>
    <row r="86" spans="1:11" x14ac:dyDescent="0.3">
      <c r="A86">
        <v>18</v>
      </c>
      <c r="B86">
        <v>1</v>
      </c>
      <c r="D86" t="s">
        <v>58</v>
      </c>
      <c r="E86" s="3">
        <v>44098</v>
      </c>
      <c r="F86" t="s">
        <v>23</v>
      </c>
      <c r="G86" t="s">
        <v>60</v>
      </c>
      <c r="I86">
        <v>3.32</v>
      </c>
      <c r="J86">
        <v>3.94</v>
      </c>
    </row>
    <row r="87" spans="1:11" x14ac:dyDescent="0.3">
      <c r="A87">
        <v>18</v>
      </c>
      <c r="B87">
        <v>1</v>
      </c>
      <c r="D87" t="s">
        <v>58</v>
      </c>
      <c r="E87" s="3">
        <v>44098</v>
      </c>
      <c r="F87" t="s">
        <v>23</v>
      </c>
      <c r="G87" t="s">
        <v>60</v>
      </c>
      <c r="I87">
        <v>6.15</v>
      </c>
      <c r="J87">
        <v>2.5299999999999998</v>
      </c>
    </row>
    <row r="88" spans="1:11" x14ac:dyDescent="0.3">
      <c r="A88">
        <v>18</v>
      </c>
      <c r="B88">
        <v>1</v>
      </c>
      <c r="D88" t="s">
        <v>58</v>
      </c>
      <c r="E88" s="3">
        <v>44098</v>
      </c>
      <c r="F88" t="s">
        <v>23</v>
      </c>
      <c r="G88" t="s">
        <v>60</v>
      </c>
      <c r="I88">
        <v>2.1800000000000002</v>
      </c>
      <c r="J88">
        <v>1.476</v>
      </c>
    </row>
    <row r="89" spans="1:11" x14ac:dyDescent="0.3">
      <c r="A89">
        <v>18</v>
      </c>
      <c r="B89">
        <v>1</v>
      </c>
      <c r="D89" t="s">
        <v>58</v>
      </c>
      <c r="E89" s="3">
        <v>44098</v>
      </c>
      <c r="F89" t="s">
        <v>23</v>
      </c>
      <c r="G89" t="s">
        <v>60</v>
      </c>
      <c r="I89">
        <v>4</v>
      </c>
      <c r="J89">
        <v>1.76</v>
      </c>
    </row>
    <row r="90" spans="1:11" x14ac:dyDescent="0.3">
      <c r="A90">
        <v>18</v>
      </c>
      <c r="B90">
        <v>1</v>
      </c>
      <c r="D90" t="s">
        <v>58</v>
      </c>
      <c r="E90" s="3">
        <v>44098</v>
      </c>
      <c r="F90" t="s">
        <v>23</v>
      </c>
      <c r="G90" t="s">
        <v>60</v>
      </c>
      <c r="I90">
        <v>3.13</v>
      </c>
      <c r="J90">
        <v>1.82</v>
      </c>
    </row>
    <row r="91" spans="1:11" x14ac:dyDescent="0.3">
      <c r="A91">
        <v>18</v>
      </c>
      <c r="B91">
        <v>1</v>
      </c>
      <c r="D91" t="s">
        <v>58</v>
      </c>
      <c r="E91" s="3">
        <v>44098</v>
      </c>
      <c r="F91" t="s">
        <v>23</v>
      </c>
      <c r="G91" t="s">
        <v>60</v>
      </c>
      <c r="I91">
        <v>3.27</v>
      </c>
      <c r="J91">
        <v>3.4329999999999998</v>
      </c>
    </row>
    <row r="92" spans="1:11" x14ac:dyDescent="0.3">
      <c r="A92">
        <v>18</v>
      </c>
      <c r="B92">
        <v>1</v>
      </c>
      <c r="D92" t="s">
        <v>58</v>
      </c>
      <c r="E92" s="3">
        <v>44098</v>
      </c>
      <c r="F92" t="s">
        <v>23</v>
      </c>
      <c r="G92" t="s">
        <v>60</v>
      </c>
      <c r="I92">
        <v>3.02</v>
      </c>
      <c r="J92">
        <v>1.77</v>
      </c>
    </row>
    <row r="93" spans="1:11" x14ac:dyDescent="0.3">
      <c r="A93">
        <v>18</v>
      </c>
      <c r="B93">
        <v>1</v>
      </c>
      <c r="D93" t="s">
        <v>58</v>
      </c>
      <c r="E93" s="3">
        <v>44098</v>
      </c>
      <c r="F93" t="s">
        <v>23</v>
      </c>
      <c r="G93" t="s">
        <v>60</v>
      </c>
      <c r="I93">
        <v>2.4900000000000002</v>
      </c>
      <c r="J93">
        <v>1.92</v>
      </c>
    </row>
    <row r="94" spans="1:11" x14ac:dyDescent="0.3">
      <c r="A94">
        <v>18</v>
      </c>
      <c r="B94">
        <v>1</v>
      </c>
      <c r="D94" t="s">
        <v>58</v>
      </c>
      <c r="E94" s="3">
        <v>44098</v>
      </c>
      <c r="F94" t="s">
        <v>23</v>
      </c>
      <c r="G94" t="s">
        <v>60</v>
      </c>
      <c r="I94">
        <v>2.1</v>
      </c>
      <c r="J94">
        <v>0.72</v>
      </c>
    </row>
    <row r="95" spans="1:11" x14ac:dyDescent="0.3">
      <c r="A95">
        <v>18</v>
      </c>
      <c r="B95">
        <v>1</v>
      </c>
      <c r="D95" t="s">
        <v>58</v>
      </c>
      <c r="E95" s="3">
        <v>44098</v>
      </c>
      <c r="F95" t="s">
        <v>23</v>
      </c>
      <c r="G95" t="s">
        <v>60</v>
      </c>
      <c r="I95">
        <v>2.0099999999999998</v>
      </c>
      <c r="J95">
        <v>3.24</v>
      </c>
    </row>
    <row r="96" spans="1:11" x14ac:dyDescent="0.3">
      <c r="A96">
        <v>18</v>
      </c>
      <c r="B96">
        <v>1</v>
      </c>
      <c r="D96" t="s">
        <v>58</v>
      </c>
      <c r="E96" s="3">
        <v>44098</v>
      </c>
      <c r="F96" t="s">
        <v>23</v>
      </c>
      <c r="G96" t="s">
        <v>60</v>
      </c>
      <c r="I96">
        <v>2.8</v>
      </c>
      <c r="J96">
        <v>1.62</v>
      </c>
    </row>
    <row r="97" spans="1:10" x14ac:dyDescent="0.3">
      <c r="A97">
        <v>18</v>
      </c>
      <c r="B97">
        <v>1</v>
      </c>
      <c r="D97" t="s">
        <v>58</v>
      </c>
      <c r="E97" s="3">
        <v>44098</v>
      </c>
      <c r="F97" t="s">
        <v>23</v>
      </c>
      <c r="G97" t="s">
        <v>60</v>
      </c>
      <c r="I97">
        <v>5.66</v>
      </c>
      <c r="J97">
        <v>3.63</v>
      </c>
    </row>
    <row r="98" spans="1:10" x14ac:dyDescent="0.3">
      <c r="A98">
        <v>18</v>
      </c>
      <c r="B98">
        <v>1</v>
      </c>
      <c r="D98" t="s">
        <v>58</v>
      </c>
      <c r="E98" s="3">
        <v>44098</v>
      </c>
      <c r="F98" t="s">
        <v>23</v>
      </c>
      <c r="G98" t="s">
        <v>60</v>
      </c>
      <c r="I98">
        <v>3.37</v>
      </c>
      <c r="J98">
        <v>2.06</v>
      </c>
    </row>
    <row r="99" spans="1:10" x14ac:dyDescent="0.3">
      <c r="A99">
        <v>18</v>
      </c>
      <c r="B99">
        <v>1</v>
      </c>
      <c r="D99" t="s">
        <v>58</v>
      </c>
      <c r="E99" s="3">
        <v>44098</v>
      </c>
      <c r="F99" t="s">
        <v>23</v>
      </c>
      <c r="G99" t="s">
        <v>60</v>
      </c>
      <c r="I99">
        <v>3.86</v>
      </c>
      <c r="J99">
        <v>2.75</v>
      </c>
    </row>
    <row r="100" spans="1:10" x14ac:dyDescent="0.3">
      <c r="A100">
        <v>18</v>
      </c>
      <c r="B100">
        <v>1</v>
      </c>
      <c r="D100" t="s">
        <v>58</v>
      </c>
      <c r="E100" s="3">
        <v>44098</v>
      </c>
      <c r="F100" t="s">
        <v>23</v>
      </c>
      <c r="G100" t="s">
        <v>60</v>
      </c>
      <c r="I100">
        <v>3.8130000000000002</v>
      </c>
      <c r="J100">
        <v>1.4</v>
      </c>
    </row>
    <row r="101" spans="1:10" x14ac:dyDescent="0.3">
      <c r="A101">
        <v>18</v>
      </c>
      <c r="B101">
        <v>1</v>
      </c>
      <c r="D101" t="s">
        <v>58</v>
      </c>
      <c r="E101" s="3">
        <v>44098</v>
      </c>
      <c r="F101" t="s">
        <v>23</v>
      </c>
      <c r="G101" t="s">
        <v>60</v>
      </c>
      <c r="I101">
        <v>2.96</v>
      </c>
      <c r="J101">
        <v>1.1000000000000001</v>
      </c>
    </row>
    <row r="102" spans="1:10" x14ac:dyDescent="0.3">
      <c r="A102">
        <v>18</v>
      </c>
      <c r="B102">
        <v>1</v>
      </c>
      <c r="D102" t="s">
        <v>58</v>
      </c>
      <c r="E102" s="3">
        <v>44098</v>
      </c>
      <c r="F102" t="s">
        <v>23</v>
      </c>
      <c r="G102" t="s">
        <v>60</v>
      </c>
      <c r="I102">
        <v>5.61</v>
      </c>
      <c r="J102">
        <v>2.29</v>
      </c>
    </row>
    <row r="103" spans="1:10" x14ac:dyDescent="0.3">
      <c r="A103">
        <v>18</v>
      </c>
      <c r="B103">
        <v>1</v>
      </c>
      <c r="D103" t="s">
        <v>58</v>
      </c>
      <c r="E103" s="3">
        <v>44098</v>
      </c>
      <c r="F103" t="s">
        <v>23</v>
      </c>
      <c r="G103" t="s">
        <v>60</v>
      </c>
      <c r="I103">
        <v>0.98</v>
      </c>
      <c r="J103">
        <v>1.25</v>
      </c>
    </row>
    <row r="104" spans="1:10" x14ac:dyDescent="0.3">
      <c r="A104">
        <v>18</v>
      </c>
      <c r="B104">
        <v>1</v>
      </c>
      <c r="D104" t="s">
        <v>58</v>
      </c>
      <c r="E104" s="3">
        <v>44098</v>
      </c>
      <c r="F104" t="s">
        <v>23</v>
      </c>
      <c r="G104" t="s">
        <v>60</v>
      </c>
      <c r="I104">
        <v>2.2799999999999998</v>
      </c>
      <c r="J104">
        <v>2.6360000000000001</v>
      </c>
    </row>
    <row r="105" spans="1:10" x14ac:dyDescent="0.3">
      <c r="A105">
        <v>18</v>
      </c>
      <c r="B105">
        <v>1</v>
      </c>
      <c r="D105" t="s">
        <v>58</v>
      </c>
      <c r="E105" s="3">
        <v>44098</v>
      </c>
      <c r="F105" t="s">
        <v>23</v>
      </c>
      <c r="G105" t="s">
        <v>60</v>
      </c>
      <c r="I105">
        <v>3.4950000000000001</v>
      </c>
      <c r="J105">
        <v>0.89600000000000002</v>
      </c>
    </row>
    <row r="106" spans="1:10" x14ac:dyDescent="0.3">
      <c r="A106">
        <v>18</v>
      </c>
      <c r="B106">
        <v>1</v>
      </c>
      <c r="D106" t="s">
        <v>58</v>
      </c>
      <c r="E106" s="3">
        <v>44098</v>
      </c>
      <c r="F106" t="s">
        <v>23</v>
      </c>
      <c r="G106" t="s">
        <v>60</v>
      </c>
      <c r="I106">
        <v>3.47</v>
      </c>
      <c r="J106">
        <v>2.14</v>
      </c>
    </row>
    <row r="107" spans="1:10" x14ac:dyDescent="0.3">
      <c r="A107">
        <v>18</v>
      </c>
      <c r="B107">
        <v>1</v>
      </c>
      <c r="D107" t="s">
        <v>58</v>
      </c>
      <c r="E107" s="3">
        <v>44098</v>
      </c>
      <c r="F107" t="s">
        <v>23</v>
      </c>
      <c r="G107" t="s">
        <v>60</v>
      </c>
      <c r="I107">
        <v>4.95</v>
      </c>
      <c r="J107">
        <v>1.67</v>
      </c>
    </row>
    <row r="108" spans="1:10" x14ac:dyDescent="0.3">
      <c r="A108">
        <v>18</v>
      </c>
      <c r="B108">
        <v>1</v>
      </c>
      <c r="D108" t="s">
        <v>58</v>
      </c>
      <c r="E108" s="3">
        <v>44098</v>
      </c>
      <c r="F108" t="s">
        <v>23</v>
      </c>
      <c r="G108" t="s">
        <v>60</v>
      </c>
      <c r="I108">
        <v>3.7</v>
      </c>
      <c r="J108">
        <v>2.2200000000000002</v>
      </c>
    </row>
    <row r="109" spans="1:10" x14ac:dyDescent="0.3">
      <c r="A109">
        <v>18</v>
      </c>
      <c r="B109">
        <v>1</v>
      </c>
      <c r="D109" t="s">
        <v>58</v>
      </c>
      <c r="E109" s="3">
        <v>44098</v>
      </c>
      <c r="F109" t="s">
        <v>23</v>
      </c>
      <c r="G109" t="s">
        <v>60</v>
      </c>
      <c r="I109">
        <v>3.61</v>
      </c>
      <c r="J109">
        <v>2.8</v>
      </c>
    </row>
    <row r="110" spans="1:10" x14ac:dyDescent="0.3">
      <c r="A110">
        <v>18</v>
      </c>
      <c r="B110">
        <v>1</v>
      </c>
      <c r="D110" t="s">
        <v>58</v>
      </c>
      <c r="E110" s="3">
        <v>44098</v>
      </c>
      <c r="F110" t="s">
        <v>23</v>
      </c>
      <c r="G110" t="s">
        <v>60</v>
      </c>
      <c r="I110">
        <v>3.26</v>
      </c>
      <c r="J110">
        <v>1.78</v>
      </c>
    </row>
    <row r="111" spans="1:10" x14ac:dyDescent="0.3">
      <c r="A111">
        <v>18</v>
      </c>
      <c r="B111">
        <v>1</v>
      </c>
      <c r="D111" t="s">
        <v>58</v>
      </c>
      <c r="E111" s="3">
        <v>44098</v>
      </c>
      <c r="F111" t="s">
        <v>23</v>
      </c>
      <c r="G111" t="s">
        <v>60</v>
      </c>
      <c r="I111">
        <v>1.93</v>
      </c>
      <c r="J111">
        <v>1.84</v>
      </c>
    </row>
    <row r="112" spans="1:10" x14ac:dyDescent="0.3">
      <c r="A112">
        <v>18</v>
      </c>
      <c r="B112">
        <v>1</v>
      </c>
      <c r="D112" t="s">
        <v>58</v>
      </c>
      <c r="E112" s="3">
        <v>44098</v>
      </c>
      <c r="F112" t="s">
        <v>23</v>
      </c>
      <c r="G112" t="s">
        <v>60</v>
      </c>
      <c r="I112">
        <v>5.59</v>
      </c>
      <c r="J112">
        <v>5.17</v>
      </c>
    </row>
    <row r="113" spans="1:11" x14ac:dyDescent="0.3">
      <c r="A113">
        <v>18</v>
      </c>
      <c r="B113">
        <v>1</v>
      </c>
      <c r="D113" t="s">
        <v>58</v>
      </c>
      <c r="E113" s="3">
        <v>44098</v>
      </c>
      <c r="F113" t="s">
        <v>23</v>
      </c>
      <c r="G113" t="s">
        <v>60</v>
      </c>
      <c r="I113">
        <v>2.98</v>
      </c>
      <c r="J113">
        <v>3.22</v>
      </c>
    </row>
    <row r="114" spans="1:11" x14ac:dyDescent="0.3">
      <c r="A114">
        <v>18</v>
      </c>
      <c r="B114">
        <v>1</v>
      </c>
      <c r="D114" t="s">
        <v>58</v>
      </c>
      <c r="E114" s="3">
        <v>44098</v>
      </c>
      <c r="F114" t="s">
        <v>23</v>
      </c>
      <c r="G114" t="s">
        <v>60</v>
      </c>
      <c r="I114">
        <v>6.63</v>
      </c>
      <c r="J114">
        <v>3.57</v>
      </c>
    </row>
    <row r="115" spans="1:11" x14ac:dyDescent="0.3">
      <c r="A115">
        <v>18</v>
      </c>
      <c r="B115">
        <v>1</v>
      </c>
      <c r="D115" t="s">
        <v>58</v>
      </c>
      <c r="E115" s="3">
        <v>44098</v>
      </c>
      <c r="F115" t="s">
        <v>23</v>
      </c>
      <c r="G115" t="s">
        <v>60</v>
      </c>
      <c r="I115">
        <v>4.9800000000000004</v>
      </c>
      <c r="J115">
        <v>2.85</v>
      </c>
    </row>
    <row r="116" spans="1:11" x14ac:dyDescent="0.3">
      <c r="A116">
        <v>18</v>
      </c>
      <c r="B116">
        <v>1</v>
      </c>
      <c r="D116" t="s">
        <v>58</v>
      </c>
      <c r="E116" s="3">
        <v>44098</v>
      </c>
      <c r="F116" t="s">
        <v>23</v>
      </c>
      <c r="G116" t="s">
        <v>60</v>
      </c>
      <c r="I116">
        <v>7.15</v>
      </c>
      <c r="J116">
        <v>2.57</v>
      </c>
    </row>
    <row r="117" spans="1:11" x14ac:dyDescent="0.3">
      <c r="A117">
        <v>18</v>
      </c>
      <c r="B117">
        <v>1</v>
      </c>
      <c r="D117" t="s">
        <v>58</v>
      </c>
      <c r="E117" s="3">
        <v>44098</v>
      </c>
      <c r="F117" t="s">
        <v>23</v>
      </c>
      <c r="G117" t="s">
        <v>60</v>
      </c>
      <c r="I117">
        <v>1.73</v>
      </c>
      <c r="J117">
        <v>1.32</v>
      </c>
    </row>
    <row r="118" spans="1:11" x14ac:dyDescent="0.3">
      <c r="A118">
        <v>18</v>
      </c>
      <c r="B118">
        <v>1</v>
      </c>
      <c r="D118" t="s">
        <v>58</v>
      </c>
      <c r="E118" s="3">
        <v>44098</v>
      </c>
      <c r="F118" t="s">
        <v>23</v>
      </c>
      <c r="G118" t="s">
        <v>60</v>
      </c>
      <c r="I118">
        <v>3.76</v>
      </c>
      <c r="J118">
        <v>3.07</v>
      </c>
    </row>
    <row r="119" spans="1:11" x14ac:dyDescent="0.3">
      <c r="A119">
        <v>18</v>
      </c>
      <c r="B119">
        <v>1</v>
      </c>
      <c r="D119" t="s">
        <v>58</v>
      </c>
      <c r="E119" s="3">
        <v>44098</v>
      </c>
      <c r="F119" t="s">
        <v>23</v>
      </c>
      <c r="G119" t="s">
        <v>60</v>
      </c>
      <c r="I119">
        <v>3.548</v>
      </c>
      <c r="J119">
        <v>1.69</v>
      </c>
    </row>
    <row r="120" spans="1:11" x14ac:dyDescent="0.3">
      <c r="A120">
        <v>18</v>
      </c>
      <c r="B120">
        <v>1</v>
      </c>
      <c r="D120" t="s">
        <v>58</v>
      </c>
      <c r="E120" s="3">
        <v>44098</v>
      </c>
      <c r="F120" t="s">
        <v>23</v>
      </c>
      <c r="G120" t="s">
        <v>60</v>
      </c>
      <c r="I120">
        <v>4.42</v>
      </c>
      <c r="J120">
        <v>2.58</v>
      </c>
    </row>
    <row r="121" spans="1:11" x14ac:dyDescent="0.3">
      <c r="A121">
        <v>18</v>
      </c>
      <c r="B121">
        <v>1</v>
      </c>
      <c r="D121" t="s">
        <v>58</v>
      </c>
      <c r="E121" s="3">
        <v>44098</v>
      </c>
      <c r="F121" t="s">
        <v>23</v>
      </c>
      <c r="G121" t="s">
        <v>60</v>
      </c>
      <c r="I121">
        <v>3.43</v>
      </c>
      <c r="J121">
        <v>2.4500000000000002</v>
      </c>
    </row>
    <row r="122" spans="1:11" x14ac:dyDescent="0.3">
      <c r="A122">
        <v>18</v>
      </c>
      <c r="B122">
        <v>1</v>
      </c>
      <c r="D122" t="s">
        <v>58</v>
      </c>
      <c r="E122" s="3">
        <v>44098</v>
      </c>
      <c r="F122" t="s">
        <v>23</v>
      </c>
      <c r="G122" t="s">
        <v>60</v>
      </c>
      <c r="I122">
        <v>7.89</v>
      </c>
      <c r="J122">
        <v>3.91</v>
      </c>
    </row>
    <row r="123" spans="1:11" x14ac:dyDescent="0.3">
      <c r="A123">
        <v>18</v>
      </c>
      <c r="B123">
        <v>1</v>
      </c>
      <c r="D123" t="s">
        <v>58</v>
      </c>
      <c r="E123" s="3">
        <v>44098</v>
      </c>
      <c r="F123" t="s">
        <v>23</v>
      </c>
      <c r="G123" t="s">
        <v>60</v>
      </c>
      <c r="I123">
        <v>2.5299999999999998</v>
      </c>
      <c r="J123">
        <v>0.4</v>
      </c>
      <c r="K123" t="s">
        <v>110</v>
      </c>
    </row>
    <row r="124" spans="1:11" x14ac:dyDescent="0.3">
      <c r="A124">
        <v>18</v>
      </c>
      <c r="B124">
        <v>1</v>
      </c>
      <c r="D124" t="s">
        <v>58</v>
      </c>
      <c r="E124" s="3">
        <v>44098</v>
      </c>
      <c r="F124" t="s">
        <v>23</v>
      </c>
      <c r="G124" t="s">
        <v>60</v>
      </c>
      <c r="I124">
        <v>2.5</v>
      </c>
      <c r="J124">
        <v>0.38</v>
      </c>
      <c r="K124" t="s">
        <v>110</v>
      </c>
    </row>
    <row r="125" spans="1:11" x14ac:dyDescent="0.3">
      <c r="A125">
        <v>18</v>
      </c>
      <c r="B125">
        <v>1</v>
      </c>
      <c r="D125" t="s">
        <v>58</v>
      </c>
      <c r="E125" s="3">
        <v>44098</v>
      </c>
      <c r="F125" t="s">
        <v>23</v>
      </c>
      <c r="G125" t="s">
        <v>60</v>
      </c>
      <c r="I125">
        <v>1.38</v>
      </c>
      <c r="J125">
        <v>0.53</v>
      </c>
      <c r="K125" t="s">
        <v>110</v>
      </c>
    </row>
    <row r="126" spans="1:11" x14ac:dyDescent="0.3">
      <c r="A126">
        <v>18</v>
      </c>
      <c r="B126">
        <v>1</v>
      </c>
      <c r="D126" t="s">
        <v>58</v>
      </c>
      <c r="E126" s="3">
        <v>44098</v>
      </c>
      <c r="F126" t="s">
        <v>23</v>
      </c>
      <c r="G126" t="s">
        <v>60</v>
      </c>
      <c r="I126">
        <v>0.84</v>
      </c>
      <c r="J126">
        <v>1.29</v>
      </c>
    </row>
    <row r="127" spans="1:11" x14ac:dyDescent="0.3">
      <c r="A127">
        <v>18</v>
      </c>
      <c r="B127">
        <v>1</v>
      </c>
      <c r="D127" t="s">
        <v>58</v>
      </c>
      <c r="E127" s="3">
        <v>44098</v>
      </c>
      <c r="F127" t="s">
        <v>23</v>
      </c>
      <c r="G127" t="s">
        <v>60</v>
      </c>
      <c r="I127">
        <v>3.55</v>
      </c>
      <c r="J127">
        <v>2.13</v>
      </c>
    </row>
    <row r="128" spans="1:11" x14ac:dyDescent="0.3">
      <c r="A128">
        <v>18</v>
      </c>
      <c r="B128">
        <v>1</v>
      </c>
      <c r="D128" t="s">
        <v>58</v>
      </c>
      <c r="E128" s="3">
        <v>44098</v>
      </c>
      <c r="F128" t="s">
        <v>23</v>
      </c>
      <c r="G128" t="s">
        <v>60</v>
      </c>
      <c r="I128">
        <v>3.42</v>
      </c>
      <c r="J128">
        <v>3</v>
      </c>
    </row>
    <row r="129" spans="1:11" x14ac:dyDescent="0.3">
      <c r="A129">
        <v>18</v>
      </c>
      <c r="B129">
        <v>1</v>
      </c>
      <c r="D129" t="s">
        <v>58</v>
      </c>
      <c r="E129" s="3">
        <v>44098</v>
      </c>
      <c r="F129" t="s">
        <v>23</v>
      </c>
      <c r="G129" t="s">
        <v>60</v>
      </c>
      <c r="I129">
        <v>3.9</v>
      </c>
      <c r="J129">
        <v>1.93</v>
      </c>
    </row>
    <row r="130" spans="1:11" x14ac:dyDescent="0.3">
      <c r="A130">
        <v>18</v>
      </c>
      <c r="B130">
        <v>1</v>
      </c>
      <c r="D130" t="s">
        <v>58</v>
      </c>
      <c r="E130" s="3">
        <v>44098</v>
      </c>
      <c r="F130" t="s">
        <v>23</v>
      </c>
      <c r="G130" t="s">
        <v>60</v>
      </c>
      <c r="I130">
        <v>4.4800000000000004</v>
      </c>
      <c r="J130">
        <v>4.09</v>
      </c>
    </row>
    <row r="131" spans="1:11" x14ac:dyDescent="0.3">
      <c r="A131">
        <v>18</v>
      </c>
      <c r="B131">
        <v>1</v>
      </c>
      <c r="D131" t="s">
        <v>58</v>
      </c>
      <c r="E131" s="3">
        <v>44098</v>
      </c>
      <c r="F131" t="s">
        <v>23</v>
      </c>
      <c r="G131" t="s">
        <v>60</v>
      </c>
      <c r="I131">
        <v>6.91</v>
      </c>
      <c r="J131">
        <v>3.98</v>
      </c>
    </row>
    <row r="132" spans="1:11" x14ac:dyDescent="0.3">
      <c r="A132">
        <v>18</v>
      </c>
      <c r="B132">
        <v>1</v>
      </c>
      <c r="D132" t="s">
        <v>58</v>
      </c>
      <c r="E132" s="3">
        <v>44098</v>
      </c>
      <c r="F132" t="s">
        <v>23</v>
      </c>
      <c r="G132" t="s">
        <v>60</v>
      </c>
      <c r="I132">
        <v>4.79</v>
      </c>
      <c r="J132">
        <v>2.35</v>
      </c>
    </row>
    <row r="133" spans="1:11" x14ac:dyDescent="0.3">
      <c r="A133">
        <v>18</v>
      </c>
      <c r="B133">
        <v>1</v>
      </c>
      <c r="D133" t="s">
        <v>58</v>
      </c>
      <c r="E133" s="3">
        <v>44098</v>
      </c>
      <c r="F133" t="s">
        <v>23</v>
      </c>
      <c r="G133" t="s">
        <v>60</v>
      </c>
      <c r="I133">
        <v>3.12</v>
      </c>
      <c r="J133">
        <v>1.24</v>
      </c>
    </row>
    <row r="134" spans="1:11" x14ac:dyDescent="0.3">
      <c r="A134">
        <v>18</v>
      </c>
      <c r="B134">
        <v>1</v>
      </c>
      <c r="D134" t="s">
        <v>58</v>
      </c>
      <c r="E134" s="3">
        <v>44098</v>
      </c>
      <c r="F134" t="s">
        <v>23</v>
      </c>
      <c r="G134" t="s">
        <v>60</v>
      </c>
      <c r="I134">
        <v>4.2300000000000004</v>
      </c>
      <c r="J134">
        <v>1.94</v>
      </c>
    </row>
    <row r="135" spans="1:11" x14ac:dyDescent="0.3">
      <c r="A135">
        <v>18</v>
      </c>
      <c r="B135">
        <v>1</v>
      </c>
      <c r="D135" t="s">
        <v>58</v>
      </c>
      <c r="E135" s="3">
        <v>44098</v>
      </c>
      <c r="F135" t="s">
        <v>23</v>
      </c>
      <c r="G135" t="s">
        <v>60</v>
      </c>
      <c r="I135">
        <v>2.44</v>
      </c>
      <c r="J135">
        <v>3.56</v>
      </c>
    </row>
    <row r="136" spans="1:11" s="5" customFormat="1" ht="16.2" thickBot="1" x14ac:dyDescent="0.35">
      <c r="A136" s="5">
        <v>18</v>
      </c>
      <c r="B136" s="5">
        <v>1</v>
      </c>
      <c r="D136" s="5" t="s">
        <v>58</v>
      </c>
      <c r="E136" s="6">
        <v>44098</v>
      </c>
      <c r="F136" s="5" t="s">
        <v>23</v>
      </c>
      <c r="G136" s="5" t="s">
        <v>60</v>
      </c>
      <c r="I136" s="5">
        <v>2.27</v>
      </c>
      <c r="J136" s="5">
        <v>1.27</v>
      </c>
      <c r="K136"/>
    </row>
    <row r="137" spans="1:11" x14ac:dyDescent="0.3">
      <c r="A137">
        <v>11</v>
      </c>
      <c r="B137">
        <v>1</v>
      </c>
      <c r="D137" t="s">
        <v>58</v>
      </c>
      <c r="F137" t="s">
        <v>23</v>
      </c>
      <c r="G137" t="s">
        <v>25</v>
      </c>
      <c r="H137" t="s">
        <v>15</v>
      </c>
      <c r="I137">
        <v>2.4500000000000002</v>
      </c>
      <c r="J137">
        <v>0.86</v>
      </c>
      <c r="K137" s="4" t="s">
        <v>111</v>
      </c>
    </row>
    <row r="138" spans="1:11" x14ac:dyDescent="0.3">
      <c r="A138">
        <v>11</v>
      </c>
      <c r="B138">
        <v>1</v>
      </c>
      <c r="D138" t="s">
        <v>58</v>
      </c>
      <c r="F138" t="s">
        <v>23</v>
      </c>
      <c r="G138" t="s">
        <v>25</v>
      </c>
      <c r="H138" t="s">
        <v>15</v>
      </c>
      <c r="I138">
        <v>2.0499999999999998</v>
      </c>
      <c r="J138">
        <v>0.67</v>
      </c>
      <c r="K138" s="4" t="s">
        <v>111</v>
      </c>
    </row>
    <row r="139" spans="1:11" x14ac:dyDescent="0.3">
      <c r="A139">
        <v>11</v>
      </c>
      <c r="B139">
        <v>1</v>
      </c>
      <c r="D139" t="s">
        <v>58</v>
      </c>
      <c r="F139" t="s">
        <v>23</v>
      </c>
      <c r="G139" t="s">
        <v>25</v>
      </c>
      <c r="H139" t="s">
        <v>15</v>
      </c>
      <c r="I139">
        <v>1.96</v>
      </c>
      <c r="J139">
        <v>0.63</v>
      </c>
      <c r="K139" s="4" t="s">
        <v>111</v>
      </c>
    </row>
    <row r="140" spans="1:11" x14ac:dyDescent="0.3">
      <c r="A140">
        <v>11</v>
      </c>
      <c r="B140">
        <v>1</v>
      </c>
      <c r="D140" t="s">
        <v>58</v>
      </c>
      <c r="F140" t="s">
        <v>23</v>
      </c>
      <c r="G140" t="s">
        <v>25</v>
      </c>
      <c r="H140" t="s">
        <v>15</v>
      </c>
      <c r="I140">
        <v>2.52</v>
      </c>
      <c r="J140">
        <v>0.89</v>
      </c>
      <c r="K140" s="4" t="s">
        <v>111</v>
      </c>
    </row>
    <row r="141" spans="1:11" x14ac:dyDescent="0.3">
      <c r="A141">
        <v>11</v>
      </c>
      <c r="B141">
        <v>1</v>
      </c>
      <c r="D141" t="s">
        <v>58</v>
      </c>
      <c r="F141" t="s">
        <v>23</v>
      </c>
      <c r="G141" t="s">
        <v>25</v>
      </c>
      <c r="H141" t="s">
        <v>15</v>
      </c>
      <c r="I141">
        <v>2.11</v>
      </c>
      <c r="J141">
        <v>0.56000000000000005</v>
      </c>
      <c r="K141" s="4" t="s">
        <v>111</v>
      </c>
    </row>
    <row r="142" spans="1:11" x14ac:dyDescent="0.3">
      <c r="A142">
        <v>11</v>
      </c>
      <c r="B142">
        <v>1</v>
      </c>
      <c r="D142" t="s">
        <v>58</v>
      </c>
      <c r="F142" t="s">
        <v>23</v>
      </c>
      <c r="G142" t="s">
        <v>25</v>
      </c>
      <c r="H142" t="s">
        <v>15</v>
      </c>
      <c r="I142">
        <v>2.2000000000000002</v>
      </c>
      <c r="J142">
        <v>0.63</v>
      </c>
      <c r="K142" s="4" t="s">
        <v>111</v>
      </c>
    </row>
    <row r="143" spans="1:11" x14ac:dyDescent="0.3">
      <c r="A143">
        <v>11</v>
      </c>
      <c r="B143">
        <v>1</v>
      </c>
      <c r="D143" t="s">
        <v>58</v>
      </c>
      <c r="F143" t="s">
        <v>23</v>
      </c>
      <c r="G143" t="s">
        <v>25</v>
      </c>
      <c r="H143" t="s">
        <v>15</v>
      </c>
      <c r="I143">
        <v>2.27</v>
      </c>
      <c r="J143">
        <v>0.74</v>
      </c>
      <c r="K143" s="4" t="s">
        <v>111</v>
      </c>
    </row>
    <row r="144" spans="1:11" x14ac:dyDescent="0.3">
      <c r="A144">
        <v>11</v>
      </c>
      <c r="B144">
        <v>1</v>
      </c>
      <c r="D144" t="s">
        <v>58</v>
      </c>
      <c r="F144" t="s">
        <v>23</v>
      </c>
      <c r="G144" t="s">
        <v>25</v>
      </c>
      <c r="H144" t="s">
        <v>15</v>
      </c>
      <c r="I144">
        <v>2.11</v>
      </c>
      <c r="J144">
        <v>0.63</v>
      </c>
      <c r="K144" s="4" t="s">
        <v>111</v>
      </c>
    </row>
    <row r="145" spans="1:11" x14ac:dyDescent="0.3">
      <c r="A145">
        <v>11</v>
      </c>
      <c r="B145">
        <v>1</v>
      </c>
      <c r="D145" t="s">
        <v>58</v>
      </c>
      <c r="F145" t="s">
        <v>23</v>
      </c>
      <c r="G145" t="s">
        <v>25</v>
      </c>
      <c r="H145" t="s">
        <v>15</v>
      </c>
      <c r="I145">
        <v>2.4500000000000002</v>
      </c>
      <c r="J145">
        <v>0.75</v>
      </c>
      <c r="K145" s="4" t="s">
        <v>111</v>
      </c>
    </row>
    <row r="146" spans="1:11" x14ac:dyDescent="0.3">
      <c r="A146">
        <v>11</v>
      </c>
      <c r="B146">
        <v>1</v>
      </c>
      <c r="D146" t="s">
        <v>58</v>
      </c>
      <c r="F146" t="s">
        <v>23</v>
      </c>
      <c r="G146" t="s">
        <v>25</v>
      </c>
      <c r="H146" t="s">
        <v>15</v>
      </c>
      <c r="I146">
        <v>2.2599999999999998</v>
      </c>
      <c r="J146">
        <v>0.7</v>
      </c>
      <c r="K146" s="4" t="s">
        <v>111</v>
      </c>
    </row>
    <row r="147" spans="1:11" x14ac:dyDescent="0.3">
      <c r="A147">
        <v>11</v>
      </c>
      <c r="B147">
        <v>1</v>
      </c>
      <c r="D147" t="s">
        <v>58</v>
      </c>
      <c r="F147" t="s">
        <v>23</v>
      </c>
      <c r="G147" t="s">
        <v>25</v>
      </c>
      <c r="H147" t="s">
        <v>15</v>
      </c>
      <c r="I147">
        <v>2.4700000000000002</v>
      </c>
      <c r="J147">
        <v>0.81</v>
      </c>
      <c r="K147" s="4" t="s">
        <v>111</v>
      </c>
    </row>
    <row r="148" spans="1:11" x14ac:dyDescent="0.3">
      <c r="A148">
        <v>11</v>
      </c>
      <c r="B148">
        <v>1</v>
      </c>
      <c r="D148" t="s">
        <v>58</v>
      </c>
      <c r="F148" t="s">
        <v>23</v>
      </c>
      <c r="G148" t="s">
        <v>25</v>
      </c>
      <c r="H148" t="s">
        <v>15</v>
      </c>
      <c r="I148">
        <v>2.52</v>
      </c>
      <c r="J148">
        <v>0.77</v>
      </c>
      <c r="K148" s="4" t="s">
        <v>111</v>
      </c>
    </row>
    <row r="149" spans="1:11" x14ac:dyDescent="0.3">
      <c r="A149">
        <v>11</v>
      </c>
      <c r="B149">
        <v>1</v>
      </c>
      <c r="D149" t="s">
        <v>58</v>
      </c>
      <c r="F149" t="s">
        <v>23</v>
      </c>
      <c r="G149" t="s">
        <v>25</v>
      </c>
      <c r="H149" t="s">
        <v>15</v>
      </c>
      <c r="I149">
        <v>2.2200000000000002</v>
      </c>
      <c r="J149">
        <v>0.71</v>
      </c>
      <c r="K149" s="4" t="s">
        <v>111</v>
      </c>
    </row>
    <row r="150" spans="1:11" x14ac:dyDescent="0.3">
      <c r="A150">
        <v>11</v>
      </c>
      <c r="B150">
        <v>1</v>
      </c>
      <c r="D150" t="s">
        <v>58</v>
      </c>
      <c r="F150" t="s">
        <v>23</v>
      </c>
      <c r="G150" t="s">
        <v>25</v>
      </c>
      <c r="H150" t="s">
        <v>15</v>
      </c>
      <c r="I150">
        <v>2.16</v>
      </c>
      <c r="J150">
        <v>0.68</v>
      </c>
      <c r="K150" s="4" t="s">
        <v>111</v>
      </c>
    </row>
    <row r="151" spans="1:11" x14ac:dyDescent="0.3">
      <c r="A151">
        <v>11</v>
      </c>
      <c r="B151">
        <v>1</v>
      </c>
      <c r="D151" t="s">
        <v>58</v>
      </c>
      <c r="F151" t="s">
        <v>23</v>
      </c>
      <c r="G151" t="s">
        <v>25</v>
      </c>
      <c r="H151" t="s">
        <v>15</v>
      </c>
      <c r="I151">
        <v>2.0499999999999998</v>
      </c>
      <c r="J151">
        <v>0.66</v>
      </c>
      <c r="K151" s="4" t="s">
        <v>111</v>
      </c>
    </row>
    <row r="152" spans="1:11" x14ac:dyDescent="0.3">
      <c r="A152">
        <v>11</v>
      </c>
      <c r="B152">
        <v>1</v>
      </c>
      <c r="D152" t="s">
        <v>58</v>
      </c>
      <c r="F152" t="s">
        <v>23</v>
      </c>
      <c r="G152" t="s">
        <v>25</v>
      </c>
      <c r="H152" t="s">
        <v>15</v>
      </c>
      <c r="I152">
        <v>2.04</v>
      </c>
      <c r="J152">
        <v>0.7</v>
      </c>
      <c r="K152" s="4" t="s">
        <v>111</v>
      </c>
    </row>
    <row r="153" spans="1:11" x14ac:dyDescent="0.3">
      <c r="A153">
        <v>11</v>
      </c>
      <c r="B153">
        <v>1</v>
      </c>
      <c r="D153" t="s">
        <v>58</v>
      </c>
      <c r="F153" t="s">
        <v>23</v>
      </c>
      <c r="G153" t="s">
        <v>25</v>
      </c>
      <c r="H153" t="s">
        <v>15</v>
      </c>
      <c r="I153">
        <v>2.15</v>
      </c>
      <c r="J153">
        <v>0.57999999999999996</v>
      </c>
      <c r="K153" s="4" t="s">
        <v>111</v>
      </c>
    </row>
    <row r="154" spans="1:11" x14ac:dyDescent="0.3">
      <c r="A154">
        <v>11</v>
      </c>
      <c r="B154">
        <v>1</v>
      </c>
      <c r="D154" t="s">
        <v>58</v>
      </c>
      <c r="F154" t="s">
        <v>23</v>
      </c>
      <c r="G154" t="s">
        <v>25</v>
      </c>
      <c r="H154" t="s">
        <v>15</v>
      </c>
      <c r="I154">
        <v>2.2400000000000002</v>
      </c>
      <c r="J154">
        <v>0.69</v>
      </c>
      <c r="K154" s="4" t="s">
        <v>111</v>
      </c>
    </row>
    <row r="155" spans="1:11" x14ac:dyDescent="0.3">
      <c r="A155">
        <v>11</v>
      </c>
      <c r="B155">
        <v>1</v>
      </c>
      <c r="D155" t="s">
        <v>58</v>
      </c>
      <c r="F155" t="s">
        <v>23</v>
      </c>
      <c r="G155" t="s">
        <v>25</v>
      </c>
      <c r="H155" t="s">
        <v>15</v>
      </c>
      <c r="I155">
        <v>2.2200000000000002</v>
      </c>
      <c r="J155">
        <v>0.6</v>
      </c>
      <c r="K155" s="4" t="s">
        <v>111</v>
      </c>
    </row>
    <row r="156" spans="1:11" x14ac:dyDescent="0.3">
      <c r="A156">
        <v>11</v>
      </c>
      <c r="B156">
        <v>1</v>
      </c>
      <c r="D156" t="s">
        <v>58</v>
      </c>
      <c r="F156" t="s">
        <v>23</v>
      </c>
      <c r="G156" t="s">
        <v>25</v>
      </c>
      <c r="H156" t="s">
        <v>15</v>
      </c>
      <c r="I156">
        <v>2.4</v>
      </c>
      <c r="J156">
        <v>0.64</v>
      </c>
      <c r="K156" s="4" t="s">
        <v>111</v>
      </c>
    </row>
    <row r="157" spans="1:11" x14ac:dyDescent="0.3">
      <c r="A157">
        <v>11</v>
      </c>
      <c r="B157">
        <v>1</v>
      </c>
      <c r="D157" t="s">
        <v>58</v>
      </c>
      <c r="F157" t="s">
        <v>23</v>
      </c>
      <c r="G157" t="s">
        <v>25</v>
      </c>
      <c r="H157" t="s">
        <v>15</v>
      </c>
      <c r="I157">
        <v>2.52</v>
      </c>
      <c r="J157">
        <v>0.81</v>
      </c>
      <c r="K157" s="4" t="s">
        <v>111</v>
      </c>
    </row>
    <row r="158" spans="1:11" x14ac:dyDescent="0.3">
      <c r="A158">
        <v>11</v>
      </c>
      <c r="B158">
        <v>1</v>
      </c>
      <c r="D158" t="s">
        <v>58</v>
      </c>
      <c r="F158" t="s">
        <v>23</v>
      </c>
      <c r="G158" t="s">
        <v>25</v>
      </c>
      <c r="H158" t="s">
        <v>15</v>
      </c>
      <c r="I158">
        <v>2.1</v>
      </c>
      <c r="J158">
        <v>0.71</v>
      </c>
      <c r="K158" s="4" t="s">
        <v>112</v>
      </c>
    </row>
    <row r="159" spans="1:11" x14ac:dyDescent="0.3">
      <c r="A159">
        <v>11</v>
      </c>
      <c r="B159">
        <v>1</v>
      </c>
      <c r="D159" t="s">
        <v>58</v>
      </c>
      <c r="F159" t="s">
        <v>23</v>
      </c>
      <c r="G159" t="s">
        <v>25</v>
      </c>
      <c r="H159" t="s">
        <v>15</v>
      </c>
      <c r="I159">
        <v>2.39</v>
      </c>
      <c r="J159">
        <v>0.75</v>
      </c>
      <c r="K159" s="4" t="s">
        <v>112</v>
      </c>
    </row>
    <row r="160" spans="1:11" x14ac:dyDescent="0.3">
      <c r="A160">
        <v>11</v>
      </c>
      <c r="B160">
        <v>1</v>
      </c>
      <c r="D160" t="s">
        <v>58</v>
      </c>
      <c r="F160" t="s">
        <v>23</v>
      </c>
      <c r="G160" t="s">
        <v>25</v>
      </c>
      <c r="H160" t="s">
        <v>15</v>
      </c>
      <c r="I160">
        <v>2.46</v>
      </c>
      <c r="J160">
        <v>0.78</v>
      </c>
      <c r="K160" s="4" t="s">
        <v>112</v>
      </c>
    </row>
    <row r="161" spans="1:11" x14ac:dyDescent="0.3">
      <c r="A161">
        <v>11</v>
      </c>
      <c r="B161">
        <v>1</v>
      </c>
      <c r="D161" t="s">
        <v>58</v>
      </c>
      <c r="F161" t="s">
        <v>23</v>
      </c>
      <c r="G161" t="s">
        <v>25</v>
      </c>
      <c r="H161" t="s">
        <v>15</v>
      </c>
      <c r="I161">
        <v>2.46</v>
      </c>
      <c r="J161">
        <v>0.91</v>
      </c>
      <c r="K161" s="4" t="s">
        <v>112</v>
      </c>
    </row>
    <row r="162" spans="1:11" x14ac:dyDescent="0.3">
      <c r="A162">
        <v>11</v>
      </c>
      <c r="B162">
        <v>1</v>
      </c>
      <c r="D162" t="s">
        <v>58</v>
      </c>
      <c r="F162" t="s">
        <v>23</v>
      </c>
      <c r="G162" t="s">
        <v>25</v>
      </c>
      <c r="H162" t="s">
        <v>15</v>
      </c>
      <c r="I162">
        <v>2.33</v>
      </c>
      <c r="J162">
        <v>0.63</v>
      </c>
      <c r="K162" s="4" t="s">
        <v>112</v>
      </c>
    </row>
    <row r="163" spans="1:11" x14ac:dyDescent="0.3">
      <c r="A163">
        <v>11</v>
      </c>
      <c r="B163">
        <v>1</v>
      </c>
      <c r="D163" t="s">
        <v>58</v>
      </c>
      <c r="F163" t="s">
        <v>23</v>
      </c>
      <c r="G163" t="s">
        <v>25</v>
      </c>
      <c r="H163" t="s">
        <v>15</v>
      </c>
      <c r="I163">
        <v>1.97</v>
      </c>
      <c r="J163">
        <v>0.56999999999999995</v>
      </c>
      <c r="K163" s="4" t="s">
        <v>112</v>
      </c>
    </row>
    <row r="164" spans="1:11" x14ac:dyDescent="0.3">
      <c r="A164">
        <v>11</v>
      </c>
      <c r="B164">
        <v>1</v>
      </c>
      <c r="D164" t="s">
        <v>58</v>
      </c>
      <c r="F164" t="s">
        <v>23</v>
      </c>
      <c r="G164" t="s">
        <v>25</v>
      </c>
      <c r="H164" t="s">
        <v>15</v>
      </c>
      <c r="I164">
        <v>2.16</v>
      </c>
      <c r="J164">
        <v>0.6</v>
      </c>
      <c r="K164" s="4" t="s">
        <v>112</v>
      </c>
    </row>
    <row r="165" spans="1:11" x14ac:dyDescent="0.3">
      <c r="A165">
        <v>11</v>
      </c>
      <c r="B165">
        <v>1</v>
      </c>
      <c r="D165" t="s">
        <v>58</v>
      </c>
      <c r="F165" t="s">
        <v>23</v>
      </c>
      <c r="G165" t="s">
        <v>25</v>
      </c>
      <c r="H165" t="s">
        <v>15</v>
      </c>
      <c r="I165">
        <v>2.52</v>
      </c>
      <c r="J165">
        <v>0.9</v>
      </c>
      <c r="K165" s="4" t="s">
        <v>112</v>
      </c>
    </row>
    <row r="166" spans="1:11" x14ac:dyDescent="0.3">
      <c r="A166">
        <v>11</v>
      </c>
      <c r="B166">
        <v>1</v>
      </c>
      <c r="D166" t="s">
        <v>58</v>
      </c>
      <c r="F166" t="s">
        <v>23</v>
      </c>
      <c r="G166" t="s">
        <v>25</v>
      </c>
      <c r="H166" t="s">
        <v>15</v>
      </c>
      <c r="I166">
        <v>2.06</v>
      </c>
      <c r="J166">
        <v>0.53</v>
      </c>
      <c r="K166" s="4" t="s">
        <v>112</v>
      </c>
    </row>
    <row r="167" spans="1:11" x14ac:dyDescent="0.3">
      <c r="A167">
        <v>11</v>
      </c>
      <c r="B167">
        <v>1</v>
      </c>
      <c r="D167" t="s">
        <v>58</v>
      </c>
      <c r="F167" t="s">
        <v>23</v>
      </c>
      <c r="G167" t="s">
        <v>25</v>
      </c>
      <c r="H167" t="s">
        <v>15</v>
      </c>
      <c r="I167">
        <v>2.29</v>
      </c>
      <c r="J167">
        <v>0.64</v>
      </c>
      <c r="K167" s="4" t="s">
        <v>112</v>
      </c>
    </row>
    <row r="168" spans="1:11" x14ac:dyDescent="0.3">
      <c r="A168">
        <v>11</v>
      </c>
      <c r="B168">
        <v>1</v>
      </c>
      <c r="D168" t="s">
        <v>58</v>
      </c>
      <c r="F168" t="s">
        <v>23</v>
      </c>
      <c r="G168" t="s">
        <v>25</v>
      </c>
      <c r="H168" t="s">
        <v>15</v>
      </c>
      <c r="I168">
        <v>1.93</v>
      </c>
      <c r="J168">
        <v>0.59</v>
      </c>
      <c r="K168" s="4" t="s">
        <v>112</v>
      </c>
    </row>
    <row r="169" spans="1:11" x14ac:dyDescent="0.3">
      <c r="A169">
        <v>11</v>
      </c>
      <c r="B169">
        <v>1</v>
      </c>
      <c r="D169" t="s">
        <v>58</v>
      </c>
      <c r="F169" t="s">
        <v>23</v>
      </c>
      <c r="G169" t="s">
        <v>25</v>
      </c>
      <c r="H169" t="s">
        <v>15</v>
      </c>
      <c r="I169">
        <v>2.44</v>
      </c>
      <c r="J169">
        <v>0.67</v>
      </c>
      <c r="K169" s="4" t="s">
        <v>112</v>
      </c>
    </row>
    <row r="170" spans="1:11" x14ac:dyDescent="0.3">
      <c r="A170">
        <v>11</v>
      </c>
      <c r="B170">
        <v>1</v>
      </c>
      <c r="D170" t="s">
        <v>58</v>
      </c>
      <c r="F170" t="s">
        <v>23</v>
      </c>
      <c r="G170" t="s">
        <v>25</v>
      </c>
      <c r="H170" t="s">
        <v>15</v>
      </c>
      <c r="I170">
        <v>2.2599999999999998</v>
      </c>
      <c r="J170">
        <v>0.72</v>
      </c>
      <c r="K170" s="4" t="s">
        <v>112</v>
      </c>
    </row>
    <row r="171" spans="1:11" x14ac:dyDescent="0.3">
      <c r="A171">
        <v>11</v>
      </c>
      <c r="B171">
        <v>1</v>
      </c>
      <c r="D171" t="s">
        <v>58</v>
      </c>
      <c r="F171" t="s">
        <v>23</v>
      </c>
      <c r="G171" t="s">
        <v>25</v>
      </c>
      <c r="H171" t="s">
        <v>15</v>
      </c>
      <c r="I171">
        <v>2.4300000000000002</v>
      </c>
      <c r="J171">
        <v>0.78</v>
      </c>
      <c r="K171" s="4" t="s">
        <v>112</v>
      </c>
    </row>
    <row r="172" spans="1:11" x14ac:dyDescent="0.3">
      <c r="A172">
        <v>11</v>
      </c>
      <c r="B172">
        <v>1</v>
      </c>
      <c r="D172" t="s">
        <v>58</v>
      </c>
      <c r="F172" t="s">
        <v>23</v>
      </c>
      <c r="G172" t="s">
        <v>25</v>
      </c>
      <c r="H172" t="s">
        <v>15</v>
      </c>
      <c r="I172">
        <v>2.3199999999999998</v>
      </c>
      <c r="J172">
        <v>0.83</v>
      </c>
      <c r="K172" s="4" t="s">
        <v>112</v>
      </c>
    </row>
    <row r="173" spans="1:11" x14ac:dyDescent="0.3">
      <c r="A173">
        <v>11</v>
      </c>
      <c r="B173">
        <v>1</v>
      </c>
      <c r="D173" t="s">
        <v>58</v>
      </c>
      <c r="F173" t="s">
        <v>23</v>
      </c>
      <c r="G173" t="s">
        <v>25</v>
      </c>
      <c r="H173" t="s">
        <v>15</v>
      </c>
      <c r="I173">
        <v>1.98</v>
      </c>
      <c r="J173">
        <v>0.54</v>
      </c>
      <c r="K173" s="4" t="s">
        <v>112</v>
      </c>
    </row>
    <row r="174" spans="1:11" x14ac:dyDescent="0.3">
      <c r="A174">
        <v>11</v>
      </c>
      <c r="B174">
        <v>1</v>
      </c>
      <c r="D174" t="s">
        <v>58</v>
      </c>
      <c r="F174" t="s">
        <v>23</v>
      </c>
      <c r="G174" t="s">
        <v>25</v>
      </c>
      <c r="H174" t="s">
        <v>15</v>
      </c>
      <c r="I174">
        <v>2.41</v>
      </c>
      <c r="J174">
        <v>0.81</v>
      </c>
      <c r="K174" s="4" t="s">
        <v>112</v>
      </c>
    </row>
    <row r="175" spans="1:11" x14ac:dyDescent="0.3">
      <c r="A175">
        <v>11</v>
      </c>
      <c r="B175">
        <v>1</v>
      </c>
      <c r="D175" t="s">
        <v>58</v>
      </c>
      <c r="F175" t="s">
        <v>23</v>
      </c>
      <c r="G175" t="s">
        <v>25</v>
      </c>
      <c r="H175" t="s">
        <v>15</v>
      </c>
      <c r="I175">
        <v>2.38</v>
      </c>
      <c r="J175">
        <v>0.73</v>
      </c>
      <c r="K175" t="s">
        <v>113</v>
      </c>
    </row>
    <row r="176" spans="1:11" x14ac:dyDescent="0.3">
      <c r="A176">
        <v>11</v>
      </c>
      <c r="B176">
        <v>1</v>
      </c>
      <c r="D176" t="s">
        <v>58</v>
      </c>
      <c r="F176" t="s">
        <v>23</v>
      </c>
      <c r="G176" t="s">
        <v>25</v>
      </c>
      <c r="H176" t="s">
        <v>15</v>
      </c>
      <c r="I176">
        <v>2.37</v>
      </c>
      <c r="J176">
        <v>0.73</v>
      </c>
      <c r="K176" t="s">
        <v>113</v>
      </c>
    </row>
    <row r="177" spans="1:11" x14ac:dyDescent="0.3">
      <c r="A177">
        <v>11</v>
      </c>
      <c r="B177">
        <v>1</v>
      </c>
      <c r="D177" t="s">
        <v>58</v>
      </c>
      <c r="F177" t="s">
        <v>23</v>
      </c>
      <c r="G177" t="s">
        <v>25</v>
      </c>
      <c r="H177" t="s">
        <v>15</v>
      </c>
      <c r="I177">
        <v>2.4700000000000002</v>
      </c>
      <c r="J177">
        <v>0.85</v>
      </c>
      <c r="K177" t="s">
        <v>113</v>
      </c>
    </row>
    <row r="178" spans="1:11" x14ac:dyDescent="0.3">
      <c r="A178">
        <v>11</v>
      </c>
      <c r="B178">
        <v>1</v>
      </c>
      <c r="D178" t="s">
        <v>58</v>
      </c>
      <c r="F178" t="s">
        <v>23</v>
      </c>
      <c r="G178" t="s">
        <v>25</v>
      </c>
      <c r="H178" t="s">
        <v>15</v>
      </c>
      <c r="I178">
        <v>2.0699999999999998</v>
      </c>
      <c r="J178">
        <v>0.69</v>
      </c>
      <c r="K178" t="s">
        <v>113</v>
      </c>
    </row>
    <row r="179" spans="1:11" x14ac:dyDescent="0.3">
      <c r="A179">
        <v>11</v>
      </c>
      <c r="B179">
        <v>1</v>
      </c>
      <c r="D179" t="s">
        <v>58</v>
      </c>
      <c r="F179" t="s">
        <v>23</v>
      </c>
      <c r="G179" t="s">
        <v>25</v>
      </c>
      <c r="H179" t="s">
        <v>15</v>
      </c>
      <c r="I179">
        <v>2.0699999999999998</v>
      </c>
      <c r="J179">
        <v>0.63</v>
      </c>
      <c r="K179" t="s">
        <v>113</v>
      </c>
    </row>
    <row r="180" spans="1:11" x14ac:dyDescent="0.3">
      <c r="A180">
        <v>11</v>
      </c>
      <c r="B180">
        <v>1</v>
      </c>
      <c r="D180" t="s">
        <v>58</v>
      </c>
      <c r="F180" t="s">
        <v>23</v>
      </c>
      <c r="G180" t="s">
        <v>25</v>
      </c>
      <c r="H180" t="s">
        <v>15</v>
      </c>
      <c r="I180">
        <v>1.92</v>
      </c>
      <c r="J180">
        <v>0.57999999999999996</v>
      </c>
      <c r="K180" t="s">
        <v>113</v>
      </c>
    </row>
    <row r="181" spans="1:11" x14ac:dyDescent="0.3">
      <c r="A181">
        <v>11</v>
      </c>
      <c r="B181">
        <v>1</v>
      </c>
      <c r="D181" t="s">
        <v>58</v>
      </c>
      <c r="F181" t="s">
        <v>23</v>
      </c>
      <c r="G181" t="s">
        <v>25</v>
      </c>
      <c r="H181" t="s">
        <v>15</v>
      </c>
      <c r="I181">
        <v>2.0299999999999998</v>
      </c>
      <c r="J181">
        <v>0.6</v>
      </c>
      <c r="K181" t="s">
        <v>113</v>
      </c>
    </row>
    <row r="182" spans="1:11" x14ac:dyDescent="0.3">
      <c r="A182">
        <v>11</v>
      </c>
      <c r="B182">
        <v>1</v>
      </c>
      <c r="D182" t="s">
        <v>58</v>
      </c>
      <c r="F182" t="s">
        <v>23</v>
      </c>
      <c r="G182" t="s">
        <v>25</v>
      </c>
      <c r="H182" t="s">
        <v>15</v>
      </c>
      <c r="I182">
        <v>2.31</v>
      </c>
      <c r="J182">
        <v>0.7</v>
      </c>
      <c r="K182" t="s">
        <v>113</v>
      </c>
    </row>
    <row r="183" spans="1:11" x14ac:dyDescent="0.3">
      <c r="A183">
        <v>11</v>
      </c>
      <c r="B183">
        <v>1</v>
      </c>
      <c r="D183" t="s">
        <v>58</v>
      </c>
      <c r="F183" t="s">
        <v>23</v>
      </c>
      <c r="G183" t="s">
        <v>25</v>
      </c>
      <c r="H183" t="s">
        <v>15</v>
      </c>
      <c r="I183">
        <v>1.96</v>
      </c>
      <c r="J183">
        <v>0.55000000000000004</v>
      </c>
      <c r="K183" t="s">
        <v>113</v>
      </c>
    </row>
    <row r="184" spans="1:11" x14ac:dyDescent="0.3">
      <c r="A184">
        <v>11</v>
      </c>
      <c r="B184">
        <v>1</v>
      </c>
      <c r="D184" t="s">
        <v>58</v>
      </c>
      <c r="F184" t="s">
        <v>23</v>
      </c>
      <c r="G184" t="s">
        <v>25</v>
      </c>
      <c r="H184" t="s">
        <v>15</v>
      </c>
      <c r="I184">
        <v>2.34</v>
      </c>
      <c r="J184">
        <v>0.73</v>
      </c>
      <c r="K184" t="s">
        <v>113</v>
      </c>
    </row>
    <row r="185" spans="1:11" x14ac:dyDescent="0.3">
      <c r="A185">
        <v>11</v>
      </c>
      <c r="B185">
        <v>1</v>
      </c>
      <c r="D185" t="s">
        <v>58</v>
      </c>
      <c r="F185" t="s">
        <v>23</v>
      </c>
      <c r="G185" t="s">
        <v>25</v>
      </c>
      <c r="H185" t="s">
        <v>15</v>
      </c>
      <c r="I185">
        <v>2.34</v>
      </c>
      <c r="J185">
        <v>0.71</v>
      </c>
      <c r="K185" t="s">
        <v>113</v>
      </c>
    </row>
    <row r="186" spans="1:11" x14ac:dyDescent="0.3">
      <c r="A186">
        <v>11</v>
      </c>
      <c r="B186">
        <v>1</v>
      </c>
      <c r="D186" t="s">
        <v>58</v>
      </c>
      <c r="F186" t="s">
        <v>23</v>
      </c>
      <c r="G186" t="s">
        <v>25</v>
      </c>
      <c r="H186" t="s">
        <v>15</v>
      </c>
      <c r="I186">
        <v>2</v>
      </c>
      <c r="J186">
        <v>0.57999999999999996</v>
      </c>
      <c r="K186" t="s">
        <v>113</v>
      </c>
    </row>
    <row r="187" spans="1:11" x14ac:dyDescent="0.3">
      <c r="A187">
        <v>11</v>
      </c>
      <c r="B187">
        <v>1</v>
      </c>
      <c r="D187" t="s">
        <v>58</v>
      </c>
      <c r="F187" t="s">
        <v>23</v>
      </c>
      <c r="G187" t="s">
        <v>25</v>
      </c>
      <c r="H187" t="s">
        <v>15</v>
      </c>
      <c r="I187">
        <v>2.34</v>
      </c>
      <c r="J187">
        <v>0.68</v>
      </c>
      <c r="K187" t="s">
        <v>113</v>
      </c>
    </row>
    <row r="188" spans="1:11" x14ac:dyDescent="0.3">
      <c r="A188">
        <v>11</v>
      </c>
      <c r="B188">
        <v>1</v>
      </c>
      <c r="D188" t="s">
        <v>58</v>
      </c>
      <c r="F188" t="s">
        <v>23</v>
      </c>
      <c r="G188" t="s">
        <v>25</v>
      </c>
      <c r="H188" t="s">
        <v>15</v>
      </c>
      <c r="I188">
        <v>2.19</v>
      </c>
      <c r="J188">
        <v>0.64</v>
      </c>
      <c r="K188" t="s">
        <v>113</v>
      </c>
    </row>
    <row r="189" spans="1:11" x14ac:dyDescent="0.3">
      <c r="A189">
        <v>11</v>
      </c>
      <c r="B189">
        <v>1</v>
      </c>
      <c r="D189" t="s">
        <v>58</v>
      </c>
      <c r="F189" t="s">
        <v>23</v>
      </c>
      <c r="G189" t="s">
        <v>25</v>
      </c>
      <c r="H189" t="s">
        <v>15</v>
      </c>
      <c r="I189">
        <v>2.06</v>
      </c>
      <c r="J189">
        <v>0.6</v>
      </c>
      <c r="K189" t="s">
        <v>113</v>
      </c>
    </row>
    <row r="190" spans="1:11" x14ac:dyDescent="0.3">
      <c r="A190">
        <v>11</v>
      </c>
      <c r="B190">
        <v>1</v>
      </c>
      <c r="D190" t="s">
        <v>58</v>
      </c>
      <c r="F190" t="s">
        <v>23</v>
      </c>
      <c r="G190" t="s">
        <v>25</v>
      </c>
      <c r="H190" t="s">
        <v>15</v>
      </c>
      <c r="I190">
        <v>2.19</v>
      </c>
      <c r="J190">
        <v>0.63</v>
      </c>
      <c r="K190" t="s">
        <v>113</v>
      </c>
    </row>
    <row r="191" spans="1:11" x14ac:dyDescent="0.3">
      <c r="A191">
        <v>11</v>
      </c>
      <c r="B191">
        <v>1</v>
      </c>
      <c r="D191" t="s">
        <v>58</v>
      </c>
      <c r="F191" t="s">
        <v>23</v>
      </c>
      <c r="G191" t="s">
        <v>25</v>
      </c>
      <c r="H191" t="s">
        <v>15</v>
      </c>
      <c r="I191">
        <v>1.96</v>
      </c>
      <c r="J191">
        <v>0.67</v>
      </c>
      <c r="K191" t="s">
        <v>113</v>
      </c>
    </row>
    <row r="192" spans="1:11" x14ac:dyDescent="0.3">
      <c r="A192">
        <v>11</v>
      </c>
      <c r="B192">
        <v>1</v>
      </c>
      <c r="D192" t="s">
        <v>58</v>
      </c>
      <c r="F192" t="s">
        <v>23</v>
      </c>
      <c r="G192" t="s">
        <v>25</v>
      </c>
      <c r="H192" t="s">
        <v>15</v>
      </c>
      <c r="I192">
        <v>2.16</v>
      </c>
      <c r="J192">
        <v>0.66</v>
      </c>
      <c r="K192" t="s">
        <v>113</v>
      </c>
    </row>
    <row r="193" spans="1:11" x14ac:dyDescent="0.3">
      <c r="A193">
        <v>11</v>
      </c>
      <c r="B193">
        <v>1</v>
      </c>
      <c r="D193" t="s">
        <v>58</v>
      </c>
      <c r="F193" t="s">
        <v>23</v>
      </c>
      <c r="G193" t="s">
        <v>25</v>
      </c>
      <c r="H193" t="s">
        <v>15</v>
      </c>
      <c r="I193">
        <v>2.4</v>
      </c>
      <c r="J193">
        <v>0.74</v>
      </c>
      <c r="K193" s="4" t="s">
        <v>114</v>
      </c>
    </row>
    <row r="194" spans="1:11" x14ac:dyDescent="0.3">
      <c r="A194">
        <v>11</v>
      </c>
      <c r="B194">
        <v>1</v>
      </c>
      <c r="D194" t="s">
        <v>58</v>
      </c>
      <c r="F194" t="s">
        <v>23</v>
      </c>
      <c r="G194" t="s">
        <v>25</v>
      </c>
      <c r="H194" t="s">
        <v>15</v>
      </c>
      <c r="I194">
        <v>2.23</v>
      </c>
      <c r="J194">
        <v>0.66</v>
      </c>
      <c r="K194" s="4" t="s">
        <v>114</v>
      </c>
    </row>
    <row r="195" spans="1:11" x14ac:dyDescent="0.3">
      <c r="A195">
        <v>11</v>
      </c>
      <c r="B195">
        <v>1</v>
      </c>
      <c r="D195" t="s">
        <v>58</v>
      </c>
      <c r="F195" t="s">
        <v>23</v>
      </c>
      <c r="G195" t="s">
        <v>25</v>
      </c>
      <c r="H195" t="s">
        <v>15</v>
      </c>
      <c r="I195">
        <v>2.37</v>
      </c>
      <c r="J195">
        <v>0.7</v>
      </c>
      <c r="K195" s="4" t="s">
        <v>114</v>
      </c>
    </row>
    <row r="196" spans="1:11" x14ac:dyDescent="0.3">
      <c r="A196">
        <v>11</v>
      </c>
      <c r="B196">
        <v>1</v>
      </c>
      <c r="D196" t="s">
        <v>58</v>
      </c>
      <c r="F196" t="s">
        <v>23</v>
      </c>
      <c r="G196" t="s">
        <v>25</v>
      </c>
      <c r="H196" t="s">
        <v>15</v>
      </c>
      <c r="I196">
        <v>2.1800000000000002</v>
      </c>
      <c r="J196">
        <v>0.69</v>
      </c>
      <c r="K196" s="4" t="s">
        <v>114</v>
      </c>
    </row>
    <row r="197" spans="1:11" x14ac:dyDescent="0.3">
      <c r="A197">
        <v>11</v>
      </c>
      <c r="B197">
        <v>1</v>
      </c>
      <c r="D197" t="s">
        <v>58</v>
      </c>
      <c r="F197" t="s">
        <v>23</v>
      </c>
      <c r="G197" t="s">
        <v>25</v>
      </c>
      <c r="H197" t="s">
        <v>15</v>
      </c>
      <c r="I197">
        <v>2.4300000000000002</v>
      </c>
      <c r="J197">
        <v>0.79</v>
      </c>
      <c r="K197" s="4" t="s">
        <v>114</v>
      </c>
    </row>
    <row r="198" spans="1:11" x14ac:dyDescent="0.3">
      <c r="A198">
        <v>11</v>
      </c>
      <c r="B198">
        <v>1</v>
      </c>
      <c r="D198" t="s">
        <v>58</v>
      </c>
      <c r="F198" t="s">
        <v>23</v>
      </c>
      <c r="G198" t="s">
        <v>25</v>
      </c>
      <c r="H198" t="s">
        <v>15</v>
      </c>
      <c r="I198">
        <v>2.37</v>
      </c>
      <c r="J198">
        <v>0.76</v>
      </c>
      <c r="K198" s="4" t="s">
        <v>114</v>
      </c>
    </row>
    <row r="199" spans="1:11" x14ac:dyDescent="0.3">
      <c r="A199">
        <v>11</v>
      </c>
      <c r="B199">
        <v>1</v>
      </c>
      <c r="D199" t="s">
        <v>58</v>
      </c>
      <c r="F199" t="s">
        <v>23</v>
      </c>
      <c r="G199" t="s">
        <v>25</v>
      </c>
      <c r="H199" t="s">
        <v>15</v>
      </c>
      <c r="I199">
        <v>1.96</v>
      </c>
      <c r="J199">
        <v>0.55000000000000004</v>
      </c>
      <c r="K199" s="4" t="s">
        <v>114</v>
      </c>
    </row>
    <row r="200" spans="1:11" x14ac:dyDescent="0.3">
      <c r="A200">
        <v>11</v>
      </c>
      <c r="B200">
        <v>1</v>
      </c>
      <c r="D200" t="s">
        <v>58</v>
      </c>
      <c r="F200" t="s">
        <v>23</v>
      </c>
      <c r="G200" t="s">
        <v>25</v>
      </c>
      <c r="H200" t="s">
        <v>15</v>
      </c>
      <c r="I200">
        <v>2.12</v>
      </c>
      <c r="J200">
        <v>0.6</v>
      </c>
      <c r="K200" s="4" t="s">
        <v>114</v>
      </c>
    </row>
    <row r="201" spans="1:11" x14ac:dyDescent="0.3">
      <c r="A201">
        <v>11</v>
      </c>
      <c r="B201">
        <v>1</v>
      </c>
      <c r="D201" t="s">
        <v>58</v>
      </c>
      <c r="F201" t="s">
        <v>23</v>
      </c>
      <c r="G201" t="s">
        <v>25</v>
      </c>
      <c r="H201" t="s">
        <v>15</v>
      </c>
      <c r="I201">
        <v>2</v>
      </c>
      <c r="J201">
        <v>0.61</v>
      </c>
      <c r="K201" s="4" t="s">
        <v>114</v>
      </c>
    </row>
    <row r="202" spans="1:11" x14ac:dyDescent="0.3">
      <c r="A202">
        <v>11</v>
      </c>
      <c r="B202">
        <v>1</v>
      </c>
      <c r="D202" t="s">
        <v>58</v>
      </c>
      <c r="F202" t="s">
        <v>23</v>
      </c>
      <c r="G202" t="s">
        <v>25</v>
      </c>
      <c r="H202" t="s">
        <v>15</v>
      </c>
      <c r="I202">
        <v>2.3199999999999998</v>
      </c>
      <c r="J202">
        <v>0.71</v>
      </c>
      <c r="K202" s="4" t="s">
        <v>114</v>
      </c>
    </row>
    <row r="203" spans="1:11" x14ac:dyDescent="0.3">
      <c r="A203">
        <v>11</v>
      </c>
      <c r="B203">
        <v>1</v>
      </c>
      <c r="D203" t="s">
        <v>58</v>
      </c>
      <c r="F203" t="s">
        <v>23</v>
      </c>
      <c r="G203" t="s">
        <v>25</v>
      </c>
      <c r="H203" t="s">
        <v>15</v>
      </c>
      <c r="I203">
        <v>2.21</v>
      </c>
      <c r="J203">
        <v>0.73</v>
      </c>
      <c r="K203" s="4" t="s">
        <v>114</v>
      </c>
    </row>
    <row r="204" spans="1:11" x14ac:dyDescent="0.3">
      <c r="A204">
        <v>11</v>
      </c>
      <c r="B204">
        <v>1</v>
      </c>
      <c r="D204" t="s">
        <v>58</v>
      </c>
      <c r="F204" t="s">
        <v>23</v>
      </c>
      <c r="G204" t="s">
        <v>25</v>
      </c>
      <c r="H204" t="s">
        <v>15</v>
      </c>
      <c r="I204">
        <v>2.08</v>
      </c>
      <c r="J204">
        <v>0.59</v>
      </c>
      <c r="K204" s="4" t="s">
        <v>114</v>
      </c>
    </row>
    <row r="205" spans="1:11" x14ac:dyDescent="0.3">
      <c r="A205">
        <v>11</v>
      </c>
      <c r="B205">
        <v>1</v>
      </c>
      <c r="D205" t="s">
        <v>58</v>
      </c>
      <c r="F205" t="s">
        <v>23</v>
      </c>
      <c r="G205" t="s">
        <v>25</v>
      </c>
      <c r="H205" t="s">
        <v>15</v>
      </c>
      <c r="I205">
        <v>2.4</v>
      </c>
      <c r="J205">
        <v>0.66</v>
      </c>
      <c r="K205" s="4" t="s">
        <v>114</v>
      </c>
    </row>
    <row r="206" spans="1:11" x14ac:dyDescent="0.3">
      <c r="A206">
        <v>11</v>
      </c>
      <c r="B206">
        <v>1</v>
      </c>
      <c r="D206" t="s">
        <v>58</v>
      </c>
      <c r="F206" t="s">
        <v>23</v>
      </c>
      <c r="G206" t="s">
        <v>25</v>
      </c>
      <c r="H206" t="s">
        <v>15</v>
      </c>
      <c r="I206">
        <v>2.1800000000000002</v>
      </c>
      <c r="J206">
        <v>0.67</v>
      </c>
      <c r="K206" s="4" t="s">
        <v>114</v>
      </c>
    </row>
    <row r="207" spans="1:11" x14ac:dyDescent="0.3">
      <c r="A207">
        <v>11</v>
      </c>
      <c r="B207">
        <v>1</v>
      </c>
      <c r="D207" t="s">
        <v>58</v>
      </c>
      <c r="F207" t="s">
        <v>23</v>
      </c>
      <c r="G207" t="s">
        <v>25</v>
      </c>
      <c r="H207" t="s">
        <v>15</v>
      </c>
      <c r="I207">
        <v>2.15</v>
      </c>
      <c r="J207">
        <v>0.65</v>
      </c>
      <c r="K207" s="4" t="s">
        <v>114</v>
      </c>
    </row>
    <row r="208" spans="1:11" x14ac:dyDescent="0.3">
      <c r="A208">
        <v>11</v>
      </c>
      <c r="B208">
        <v>1</v>
      </c>
      <c r="D208" t="s">
        <v>58</v>
      </c>
      <c r="F208" t="s">
        <v>23</v>
      </c>
      <c r="G208" t="s">
        <v>25</v>
      </c>
      <c r="H208" t="s">
        <v>15</v>
      </c>
      <c r="I208">
        <v>2.06</v>
      </c>
      <c r="J208">
        <v>0.68</v>
      </c>
      <c r="K208" s="4" t="s">
        <v>115</v>
      </c>
    </row>
    <row r="209" spans="1:11" x14ac:dyDescent="0.3">
      <c r="A209">
        <v>11</v>
      </c>
      <c r="B209">
        <v>1</v>
      </c>
      <c r="D209" t="s">
        <v>58</v>
      </c>
      <c r="F209" t="s">
        <v>23</v>
      </c>
      <c r="G209" t="s">
        <v>25</v>
      </c>
      <c r="H209" t="s">
        <v>15</v>
      </c>
      <c r="I209">
        <v>2.3199999999999998</v>
      </c>
      <c r="J209">
        <v>0.73</v>
      </c>
      <c r="K209" s="4" t="s">
        <v>115</v>
      </c>
    </row>
    <row r="210" spans="1:11" x14ac:dyDescent="0.3">
      <c r="A210">
        <v>11</v>
      </c>
      <c r="B210">
        <v>1</v>
      </c>
      <c r="D210" t="s">
        <v>58</v>
      </c>
      <c r="F210" t="s">
        <v>23</v>
      </c>
      <c r="G210" t="s">
        <v>25</v>
      </c>
      <c r="H210" t="s">
        <v>15</v>
      </c>
      <c r="I210">
        <v>1.82</v>
      </c>
      <c r="J210">
        <v>0.56999999999999995</v>
      </c>
      <c r="K210" s="4" t="s">
        <v>115</v>
      </c>
    </row>
    <row r="211" spans="1:11" x14ac:dyDescent="0.3">
      <c r="A211">
        <v>11</v>
      </c>
      <c r="B211">
        <v>1</v>
      </c>
      <c r="D211" t="s">
        <v>58</v>
      </c>
      <c r="F211" t="s">
        <v>23</v>
      </c>
      <c r="G211" t="s">
        <v>25</v>
      </c>
      <c r="H211" t="s">
        <v>15</v>
      </c>
      <c r="I211">
        <v>2.06</v>
      </c>
      <c r="J211">
        <v>0.61</v>
      </c>
      <c r="K211" s="4" t="s">
        <v>115</v>
      </c>
    </row>
    <row r="212" spans="1:11" x14ac:dyDescent="0.3">
      <c r="A212">
        <v>11</v>
      </c>
      <c r="B212">
        <v>1</v>
      </c>
      <c r="D212" t="s">
        <v>58</v>
      </c>
      <c r="F212" t="s">
        <v>23</v>
      </c>
      <c r="G212" t="s">
        <v>25</v>
      </c>
      <c r="H212" t="s">
        <v>15</v>
      </c>
      <c r="I212">
        <v>2.13</v>
      </c>
      <c r="J212">
        <v>0.65</v>
      </c>
      <c r="K212" s="4" t="s">
        <v>115</v>
      </c>
    </row>
    <row r="213" spans="1:11" x14ac:dyDescent="0.3">
      <c r="A213">
        <v>11</v>
      </c>
      <c r="B213">
        <v>1</v>
      </c>
      <c r="D213" t="s">
        <v>58</v>
      </c>
      <c r="F213" t="s">
        <v>23</v>
      </c>
      <c r="G213" t="s">
        <v>25</v>
      </c>
      <c r="H213" t="s">
        <v>15</v>
      </c>
      <c r="I213">
        <v>2.12</v>
      </c>
      <c r="J213">
        <v>0.66</v>
      </c>
      <c r="K213" s="4" t="s">
        <v>115</v>
      </c>
    </row>
    <row r="214" spans="1:11" x14ac:dyDescent="0.3">
      <c r="A214">
        <v>11</v>
      </c>
      <c r="B214">
        <v>1</v>
      </c>
      <c r="D214" t="s">
        <v>58</v>
      </c>
      <c r="F214" t="s">
        <v>23</v>
      </c>
      <c r="G214" t="s">
        <v>25</v>
      </c>
      <c r="H214" t="s">
        <v>15</v>
      </c>
      <c r="I214">
        <v>2.25</v>
      </c>
      <c r="J214">
        <v>0.77</v>
      </c>
      <c r="K214" s="4" t="s">
        <v>115</v>
      </c>
    </row>
    <row r="215" spans="1:11" x14ac:dyDescent="0.3">
      <c r="A215">
        <v>11</v>
      </c>
      <c r="B215">
        <v>1</v>
      </c>
      <c r="D215" t="s">
        <v>58</v>
      </c>
      <c r="F215" t="s">
        <v>23</v>
      </c>
      <c r="G215" t="s">
        <v>25</v>
      </c>
      <c r="H215" t="s">
        <v>15</v>
      </c>
      <c r="I215">
        <v>2.46</v>
      </c>
      <c r="J215">
        <v>0.72</v>
      </c>
      <c r="K215" s="4" t="s">
        <v>115</v>
      </c>
    </row>
    <row r="216" spans="1:11" x14ac:dyDescent="0.3">
      <c r="A216">
        <v>11</v>
      </c>
      <c r="B216">
        <v>1</v>
      </c>
      <c r="D216" t="s">
        <v>58</v>
      </c>
      <c r="F216" t="s">
        <v>23</v>
      </c>
      <c r="G216" t="s">
        <v>25</v>
      </c>
      <c r="H216" t="s">
        <v>15</v>
      </c>
      <c r="I216">
        <v>2.0499999999999998</v>
      </c>
      <c r="J216">
        <v>0.46</v>
      </c>
      <c r="K216" s="4" t="s">
        <v>115</v>
      </c>
    </row>
    <row r="217" spans="1:11" x14ac:dyDescent="0.3">
      <c r="A217">
        <v>11</v>
      </c>
      <c r="B217">
        <v>1</v>
      </c>
      <c r="D217" t="s">
        <v>58</v>
      </c>
      <c r="F217" t="s">
        <v>23</v>
      </c>
      <c r="G217" t="s">
        <v>25</v>
      </c>
      <c r="H217" t="s">
        <v>15</v>
      </c>
      <c r="I217">
        <v>2.2400000000000002</v>
      </c>
      <c r="J217">
        <v>0.67</v>
      </c>
      <c r="K217" s="4" t="s">
        <v>115</v>
      </c>
    </row>
    <row r="218" spans="1:11" x14ac:dyDescent="0.3">
      <c r="A218">
        <v>11</v>
      </c>
      <c r="B218">
        <v>1</v>
      </c>
      <c r="D218" t="s">
        <v>58</v>
      </c>
      <c r="F218" t="s">
        <v>23</v>
      </c>
      <c r="G218" t="s">
        <v>25</v>
      </c>
      <c r="H218" t="s">
        <v>15</v>
      </c>
      <c r="I218">
        <v>1.96</v>
      </c>
      <c r="J218">
        <v>0.59</v>
      </c>
      <c r="K218" s="4" t="s">
        <v>115</v>
      </c>
    </row>
    <row r="219" spans="1:11" x14ac:dyDescent="0.3">
      <c r="A219">
        <v>11</v>
      </c>
      <c r="B219">
        <v>1</v>
      </c>
      <c r="D219" t="s">
        <v>58</v>
      </c>
      <c r="F219" t="s">
        <v>23</v>
      </c>
      <c r="G219" t="s">
        <v>25</v>
      </c>
      <c r="H219" t="s">
        <v>15</v>
      </c>
      <c r="I219">
        <v>2.31</v>
      </c>
      <c r="J219">
        <v>0.74</v>
      </c>
      <c r="K219" s="4" t="s">
        <v>115</v>
      </c>
    </row>
    <row r="220" spans="1:11" x14ac:dyDescent="0.3">
      <c r="A220">
        <v>11</v>
      </c>
      <c r="B220">
        <v>1</v>
      </c>
      <c r="D220" t="s">
        <v>58</v>
      </c>
      <c r="F220" t="s">
        <v>23</v>
      </c>
      <c r="G220" t="s">
        <v>25</v>
      </c>
      <c r="H220" t="s">
        <v>15</v>
      </c>
      <c r="I220">
        <v>2.52</v>
      </c>
      <c r="J220">
        <v>0.83</v>
      </c>
      <c r="K220" s="4" t="s">
        <v>115</v>
      </c>
    </row>
    <row r="221" spans="1:11" x14ac:dyDescent="0.3">
      <c r="A221">
        <v>11</v>
      </c>
      <c r="B221">
        <v>1</v>
      </c>
      <c r="D221" t="s">
        <v>58</v>
      </c>
      <c r="F221" t="s">
        <v>23</v>
      </c>
      <c r="G221" t="s">
        <v>25</v>
      </c>
      <c r="H221" t="s">
        <v>15</v>
      </c>
      <c r="I221">
        <v>2.0699999999999998</v>
      </c>
      <c r="J221">
        <v>0.62</v>
      </c>
      <c r="K221" s="4" t="s">
        <v>115</v>
      </c>
    </row>
    <row r="222" spans="1:11" x14ac:dyDescent="0.3">
      <c r="A222">
        <v>11</v>
      </c>
      <c r="B222">
        <v>1</v>
      </c>
      <c r="D222" t="s">
        <v>58</v>
      </c>
      <c r="F222" t="s">
        <v>23</v>
      </c>
      <c r="G222" t="s">
        <v>25</v>
      </c>
      <c r="H222" t="s">
        <v>15</v>
      </c>
      <c r="I222">
        <v>1.93</v>
      </c>
      <c r="J222">
        <v>0.57999999999999996</v>
      </c>
      <c r="K222" s="4" t="s">
        <v>116</v>
      </c>
    </row>
    <row r="223" spans="1:11" x14ac:dyDescent="0.3">
      <c r="A223">
        <v>11</v>
      </c>
      <c r="B223">
        <v>1</v>
      </c>
      <c r="D223" t="s">
        <v>58</v>
      </c>
      <c r="F223" t="s">
        <v>23</v>
      </c>
      <c r="G223" t="s">
        <v>25</v>
      </c>
      <c r="H223" t="s">
        <v>15</v>
      </c>
      <c r="I223">
        <v>2.06</v>
      </c>
      <c r="J223">
        <v>0.63</v>
      </c>
      <c r="K223" s="4" t="s">
        <v>116</v>
      </c>
    </row>
    <row r="224" spans="1:11" x14ac:dyDescent="0.3">
      <c r="A224">
        <v>11</v>
      </c>
      <c r="B224">
        <v>1</v>
      </c>
      <c r="D224" t="s">
        <v>58</v>
      </c>
      <c r="F224" t="s">
        <v>23</v>
      </c>
      <c r="G224" t="s">
        <v>25</v>
      </c>
      <c r="H224" t="s">
        <v>15</v>
      </c>
      <c r="I224">
        <v>2.23</v>
      </c>
      <c r="J224">
        <v>0.66</v>
      </c>
      <c r="K224" s="4" t="s">
        <v>116</v>
      </c>
    </row>
    <row r="225" spans="1:11" x14ac:dyDescent="0.3">
      <c r="A225">
        <v>11</v>
      </c>
      <c r="B225">
        <v>1</v>
      </c>
      <c r="D225" t="s">
        <v>58</v>
      </c>
      <c r="F225" t="s">
        <v>23</v>
      </c>
      <c r="G225" t="s">
        <v>25</v>
      </c>
      <c r="H225" t="s">
        <v>15</v>
      </c>
      <c r="I225">
        <v>2.27</v>
      </c>
      <c r="J225">
        <v>0.7</v>
      </c>
      <c r="K225" s="4" t="s">
        <v>116</v>
      </c>
    </row>
    <row r="226" spans="1:11" x14ac:dyDescent="0.3">
      <c r="A226">
        <v>11</v>
      </c>
      <c r="B226">
        <v>1</v>
      </c>
      <c r="D226" t="s">
        <v>58</v>
      </c>
      <c r="F226" t="s">
        <v>23</v>
      </c>
      <c r="G226" t="s">
        <v>25</v>
      </c>
      <c r="H226" t="s">
        <v>15</v>
      </c>
      <c r="I226">
        <v>2.25</v>
      </c>
      <c r="J226">
        <v>0.69</v>
      </c>
      <c r="K226" s="4" t="s">
        <v>116</v>
      </c>
    </row>
    <row r="227" spans="1:11" x14ac:dyDescent="0.3">
      <c r="A227">
        <v>11</v>
      </c>
      <c r="B227">
        <v>1</v>
      </c>
      <c r="D227" t="s">
        <v>58</v>
      </c>
      <c r="F227" t="s">
        <v>23</v>
      </c>
      <c r="G227" t="s">
        <v>25</v>
      </c>
      <c r="H227" t="s">
        <v>15</v>
      </c>
      <c r="I227">
        <v>2.39</v>
      </c>
      <c r="J227">
        <v>0.72</v>
      </c>
      <c r="K227" s="4" t="s">
        <v>116</v>
      </c>
    </row>
    <row r="228" spans="1:11" x14ac:dyDescent="0.3">
      <c r="A228">
        <v>11</v>
      </c>
      <c r="B228">
        <v>1</v>
      </c>
      <c r="D228" t="s">
        <v>58</v>
      </c>
      <c r="F228" t="s">
        <v>23</v>
      </c>
      <c r="G228" t="s">
        <v>25</v>
      </c>
      <c r="H228" t="s">
        <v>15</v>
      </c>
      <c r="I228">
        <v>2.33</v>
      </c>
      <c r="J228">
        <v>0.64</v>
      </c>
      <c r="K228" s="4" t="s">
        <v>116</v>
      </c>
    </row>
    <row r="229" spans="1:11" x14ac:dyDescent="0.3">
      <c r="A229">
        <v>11</v>
      </c>
      <c r="B229">
        <v>1</v>
      </c>
      <c r="D229" t="s">
        <v>58</v>
      </c>
      <c r="F229" t="s">
        <v>23</v>
      </c>
      <c r="G229" t="s">
        <v>25</v>
      </c>
      <c r="H229" t="s">
        <v>15</v>
      </c>
      <c r="I229">
        <v>2.02</v>
      </c>
      <c r="J229">
        <v>0.61</v>
      </c>
      <c r="K229" s="4" t="s">
        <v>116</v>
      </c>
    </row>
    <row r="230" spans="1:11" x14ac:dyDescent="0.3">
      <c r="A230">
        <v>11</v>
      </c>
      <c r="B230">
        <v>1</v>
      </c>
      <c r="D230" t="s">
        <v>58</v>
      </c>
      <c r="F230" t="s">
        <v>23</v>
      </c>
      <c r="G230" t="s">
        <v>25</v>
      </c>
      <c r="H230" t="s">
        <v>15</v>
      </c>
      <c r="I230">
        <v>1.91</v>
      </c>
      <c r="J230">
        <v>0.57999999999999996</v>
      </c>
      <c r="K230" s="4" t="s">
        <v>116</v>
      </c>
    </row>
    <row r="231" spans="1:11" x14ac:dyDescent="0.3">
      <c r="A231">
        <v>11</v>
      </c>
      <c r="B231">
        <v>1</v>
      </c>
      <c r="D231" t="s">
        <v>58</v>
      </c>
      <c r="F231" t="s">
        <v>23</v>
      </c>
      <c r="G231" t="s">
        <v>25</v>
      </c>
      <c r="H231" t="s">
        <v>15</v>
      </c>
      <c r="I231">
        <v>2.0099999999999998</v>
      </c>
      <c r="J231">
        <v>0.67</v>
      </c>
      <c r="K231" s="4" t="s">
        <v>116</v>
      </c>
    </row>
    <row r="232" spans="1:11" x14ac:dyDescent="0.3">
      <c r="A232">
        <v>11</v>
      </c>
      <c r="B232">
        <v>1</v>
      </c>
      <c r="D232" t="s">
        <v>58</v>
      </c>
      <c r="F232" t="s">
        <v>23</v>
      </c>
      <c r="G232" t="s">
        <v>25</v>
      </c>
      <c r="H232" t="s">
        <v>15</v>
      </c>
      <c r="I232">
        <v>2.13</v>
      </c>
      <c r="J232">
        <v>0.69</v>
      </c>
      <c r="K232" s="4" t="s">
        <v>116</v>
      </c>
    </row>
    <row r="233" spans="1:11" x14ac:dyDescent="0.3">
      <c r="A233">
        <v>11</v>
      </c>
      <c r="B233">
        <v>1</v>
      </c>
      <c r="D233" t="s">
        <v>58</v>
      </c>
      <c r="F233" t="s">
        <v>23</v>
      </c>
      <c r="G233" t="s">
        <v>25</v>
      </c>
      <c r="H233" t="s">
        <v>15</v>
      </c>
      <c r="I233">
        <v>2.27</v>
      </c>
      <c r="J233">
        <v>0.69</v>
      </c>
      <c r="K233" s="4" t="s">
        <v>116</v>
      </c>
    </row>
    <row r="234" spans="1:11" x14ac:dyDescent="0.3">
      <c r="A234">
        <v>11</v>
      </c>
      <c r="B234">
        <v>1</v>
      </c>
      <c r="D234" t="s">
        <v>58</v>
      </c>
      <c r="F234" t="s">
        <v>23</v>
      </c>
      <c r="G234" t="s">
        <v>25</v>
      </c>
      <c r="H234" t="s">
        <v>15</v>
      </c>
      <c r="I234">
        <v>2.14</v>
      </c>
      <c r="J234">
        <v>0.67</v>
      </c>
      <c r="K234" s="4" t="s">
        <v>116</v>
      </c>
    </row>
    <row r="235" spans="1:11" x14ac:dyDescent="0.3">
      <c r="A235">
        <v>11</v>
      </c>
      <c r="B235">
        <v>1</v>
      </c>
      <c r="D235" t="s">
        <v>58</v>
      </c>
      <c r="F235" t="s">
        <v>23</v>
      </c>
      <c r="G235" t="s">
        <v>25</v>
      </c>
      <c r="H235" t="s">
        <v>15</v>
      </c>
      <c r="I235">
        <v>2.14</v>
      </c>
      <c r="J235">
        <v>0.63</v>
      </c>
      <c r="K235" s="4" t="s">
        <v>116</v>
      </c>
    </row>
    <row r="236" spans="1:11" x14ac:dyDescent="0.3">
      <c r="A236">
        <v>11</v>
      </c>
      <c r="B236">
        <v>1</v>
      </c>
      <c r="D236" t="s">
        <v>58</v>
      </c>
      <c r="F236" t="s">
        <v>23</v>
      </c>
      <c r="G236" t="s">
        <v>25</v>
      </c>
      <c r="H236" t="s">
        <v>15</v>
      </c>
      <c r="I236">
        <v>2.2000000000000002</v>
      </c>
      <c r="J236">
        <v>0.59</v>
      </c>
      <c r="K236" s="4" t="s">
        <v>116</v>
      </c>
    </row>
    <row r="237" spans="1:11" x14ac:dyDescent="0.3">
      <c r="A237">
        <v>11</v>
      </c>
      <c r="B237">
        <v>1</v>
      </c>
      <c r="D237" t="s">
        <v>58</v>
      </c>
      <c r="F237" t="s">
        <v>23</v>
      </c>
      <c r="G237" t="s">
        <v>25</v>
      </c>
      <c r="H237" t="s">
        <v>15</v>
      </c>
      <c r="I237">
        <v>2.29</v>
      </c>
      <c r="J237">
        <v>0.72</v>
      </c>
      <c r="K237" s="4" t="s">
        <v>116</v>
      </c>
    </row>
    <row r="238" spans="1:11" x14ac:dyDescent="0.3">
      <c r="A238">
        <v>11</v>
      </c>
      <c r="B238">
        <v>1</v>
      </c>
      <c r="D238" t="s">
        <v>58</v>
      </c>
      <c r="F238" t="s">
        <v>23</v>
      </c>
      <c r="G238" t="s">
        <v>27</v>
      </c>
      <c r="H238" t="s">
        <v>15</v>
      </c>
      <c r="I238">
        <v>2.6486000000000001</v>
      </c>
      <c r="J238">
        <v>0.77249999999999996</v>
      </c>
      <c r="K238" s="4" t="s">
        <v>117</v>
      </c>
    </row>
    <row r="239" spans="1:11" x14ac:dyDescent="0.3">
      <c r="A239">
        <v>11</v>
      </c>
      <c r="B239">
        <v>1</v>
      </c>
      <c r="D239" t="s">
        <v>58</v>
      </c>
      <c r="F239" t="s">
        <v>23</v>
      </c>
      <c r="G239" t="s">
        <v>25</v>
      </c>
      <c r="H239" t="s">
        <v>15</v>
      </c>
      <c r="I239">
        <v>2.5099999999999998</v>
      </c>
      <c r="J239">
        <v>0.83</v>
      </c>
      <c r="K239" s="4" t="s">
        <v>118</v>
      </c>
    </row>
    <row r="240" spans="1:11" x14ac:dyDescent="0.3">
      <c r="A240">
        <v>11</v>
      </c>
      <c r="B240">
        <v>1</v>
      </c>
      <c r="D240" t="s">
        <v>58</v>
      </c>
      <c r="F240" t="s">
        <v>23</v>
      </c>
      <c r="G240" t="s">
        <v>25</v>
      </c>
      <c r="H240" t="s">
        <v>15</v>
      </c>
      <c r="I240">
        <v>2.34</v>
      </c>
      <c r="J240">
        <v>0.79</v>
      </c>
      <c r="K240" s="4" t="s">
        <v>118</v>
      </c>
    </row>
    <row r="241" spans="1:15" s="7" customFormat="1" x14ac:dyDescent="0.3">
      <c r="A241" s="7">
        <v>11</v>
      </c>
      <c r="B241" s="7">
        <v>1</v>
      </c>
      <c r="D241" s="7" t="s">
        <v>58</v>
      </c>
      <c r="E241" s="9"/>
      <c r="F241" s="7" t="s">
        <v>23</v>
      </c>
      <c r="G241" s="7" t="s">
        <v>25</v>
      </c>
      <c r="H241" s="7" t="s">
        <v>15</v>
      </c>
      <c r="I241" s="7">
        <v>1.78</v>
      </c>
      <c r="J241" s="7">
        <v>0.62</v>
      </c>
      <c r="K241" s="8" t="s">
        <v>118</v>
      </c>
      <c r="O241" s="7" t="s">
        <v>119</v>
      </c>
    </row>
    <row r="242" spans="1:15" x14ac:dyDescent="0.3">
      <c r="A242">
        <v>11</v>
      </c>
      <c r="B242">
        <v>1</v>
      </c>
      <c r="D242" t="s">
        <v>58</v>
      </c>
      <c r="F242" t="s">
        <v>23</v>
      </c>
      <c r="G242" t="s">
        <v>25</v>
      </c>
      <c r="H242" t="s">
        <v>15</v>
      </c>
      <c r="I242">
        <v>2.02</v>
      </c>
      <c r="J242">
        <v>0.63</v>
      </c>
      <c r="K242" s="4" t="s">
        <v>118</v>
      </c>
    </row>
    <row r="243" spans="1:15" x14ac:dyDescent="0.3">
      <c r="A243">
        <v>11</v>
      </c>
      <c r="B243">
        <v>1</v>
      </c>
      <c r="D243" t="s">
        <v>58</v>
      </c>
      <c r="F243" t="s">
        <v>23</v>
      </c>
      <c r="G243" t="s">
        <v>25</v>
      </c>
      <c r="H243" t="s">
        <v>15</v>
      </c>
      <c r="I243">
        <v>2.2200000000000002</v>
      </c>
      <c r="J243">
        <v>0.61</v>
      </c>
      <c r="K243" s="4" t="s">
        <v>118</v>
      </c>
    </row>
    <row r="244" spans="1:15" x14ac:dyDescent="0.3">
      <c r="A244">
        <v>11</v>
      </c>
      <c r="B244">
        <v>1</v>
      </c>
      <c r="D244" t="s">
        <v>58</v>
      </c>
      <c r="F244" t="s">
        <v>23</v>
      </c>
      <c r="G244" t="s">
        <v>25</v>
      </c>
      <c r="H244" t="s">
        <v>15</v>
      </c>
      <c r="I244">
        <v>1.96</v>
      </c>
      <c r="J244">
        <v>0.68</v>
      </c>
      <c r="K244" s="4" t="s">
        <v>118</v>
      </c>
    </row>
    <row r="245" spans="1:15" x14ac:dyDescent="0.3">
      <c r="A245">
        <v>11</v>
      </c>
      <c r="B245">
        <v>1</v>
      </c>
      <c r="D245" t="s">
        <v>58</v>
      </c>
      <c r="F245" t="s">
        <v>23</v>
      </c>
      <c r="G245" t="s">
        <v>25</v>
      </c>
      <c r="H245" t="s">
        <v>15</v>
      </c>
      <c r="I245">
        <v>2.0699999999999998</v>
      </c>
      <c r="J245">
        <v>0.59</v>
      </c>
      <c r="K245" s="4" t="s">
        <v>118</v>
      </c>
    </row>
    <row r="246" spans="1:15" x14ac:dyDescent="0.3">
      <c r="A246">
        <v>11</v>
      </c>
      <c r="B246">
        <v>1</v>
      </c>
      <c r="D246" t="s">
        <v>58</v>
      </c>
      <c r="F246" t="s">
        <v>23</v>
      </c>
      <c r="G246" t="s">
        <v>25</v>
      </c>
      <c r="H246" t="s">
        <v>15</v>
      </c>
      <c r="I246">
        <v>2.14</v>
      </c>
      <c r="J246">
        <v>0.61</v>
      </c>
      <c r="K246" s="4" t="s">
        <v>118</v>
      </c>
    </row>
    <row r="247" spans="1:15" x14ac:dyDescent="0.3">
      <c r="A247">
        <v>11</v>
      </c>
      <c r="B247">
        <v>1</v>
      </c>
      <c r="D247" t="s">
        <v>58</v>
      </c>
      <c r="F247" t="s">
        <v>23</v>
      </c>
      <c r="G247" t="s">
        <v>25</v>
      </c>
      <c r="H247" t="s">
        <v>15</v>
      </c>
      <c r="I247">
        <v>2.5099999999999998</v>
      </c>
      <c r="J247">
        <v>0.79</v>
      </c>
      <c r="K247" s="4" t="s">
        <v>118</v>
      </c>
    </row>
    <row r="248" spans="1:15" x14ac:dyDescent="0.3">
      <c r="A248">
        <v>11</v>
      </c>
      <c r="B248">
        <v>1</v>
      </c>
      <c r="D248" t="s">
        <v>58</v>
      </c>
      <c r="F248" t="s">
        <v>23</v>
      </c>
      <c r="G248" t="s">
        <v>25</v>
      </c>
      <c r="H248" t="s">
        <v>15</v>
      </c>
      <c r="I248">
        <v>1.96</v>
      </c>
      <c r="J248">
        <v>0.71</v>
      </c>
      <c r="K248" s="4" t="s">
        <v>118</v>
      </c>
    </row>
    <row r="249" spans="1:15" x14ac:dyDescent="0.3">
      <c r="A249">
        <v>11</v>
      </c>
      <c r="B249">
        <v>1</v>
      </c>
      <c r="D249" t="s">
        <v>58</v>
      </c>
      <c r="F249" t="s">
        <v>23</v>
      </c>
      <c r="G249" t="s">
        <v>25</v>
      </c>
      <c r="H249" t="s">
        <v>15</v>
      </c>
      <c r="I249">
        <v>2.25</v>
      </c>
      <c r="J249">
        <v>0.77</v>
      </c>
      <c r="K249" s="4" t="s">
        <v>118</v>
      </c>
    </row>
    <row r="250" spans="1:15" x14ac:dyDescent="0.3">
      <c r="A250">
        <v>11</v>
      </c>
      <c r="B250">
        <v>1</v>
      </c>
      <c r="D250" t="s">
        <v>58</v>
      </c>
      <c r="F250" t="s">
        <v>23</v>
      </c>
      <c r="G250" t="s">
        <v>25</v>
      </c>
      <c r="H250" t="s">
        <v>15</v>
      </c>
      <c r="I250">
        <v>2.0099999999999998</v>
      </c>
      <c r="J250">
        <v>0.56999999999999995</v>
      </c>
      <c r="K250" s="4" t="s">
        <v>118</v>
      </c>
    </row>
    <row r="251" spans="1:15" x14ac:dyDescent="0.3">
      <c r="A251">
        <v>11</v>
      </c>
      <c r="B251">
        <v>1</v>
      </c>
      <c r="D251" t="s">
        <v>58</v>
      </c>
      <c r="F251" t="s">
        <v>23</v>
      </c>
      <c r="G251" t="s">
        <v>25</v>
      </c>
      <c r="H251" t="s">
        <v>15</v>
      </c>
      <c r="I251">
        <v>2.33</v>
      </c>
      <c r="J251">
        <v>0.81</v>
      </c>
      <c r="K251" s="4" t="s">
        <v>118</v>
      </c>
    </row>
    <row r="252" spans="1:15" x14ac:dyDescent="0.3">
      <c r="A252">
        <v>11</v>
      </c>
      <c r="B252">
        <v>1</v>
      </c>
      <c r="D252" t="s">
        <v>58</v>
      </c>
      <c r="F252" t="s">
        <v>23</v>
      </c>
      <c r="G252" t="s">
        <v>25</v>
      </c>
      <c r="H252" t="s">
        <v>15</v>
      </c>
      <c r="I252">
        <v>2.39</v>
      </c>
      <c r="J252">
        <v>0.8</v>
      </c>
      <c r="K252" s="4" t="s">
        <v>118</v>
      </c>
    </row>
    <row r="253" spans="1:15" x14ac:dyDescent="0.3">
      <c r="A253">
        <v>11</v>
      </c>
      <c r="B253">
        <v>1</v>
      </c>
      <c r="D253" t="s">
        <v>58</v>
      </c>
      <c r="F253" t="s">
        <v>23</v>
      </c>
      <c r="G253" t="s">
        <v>25</v>
      </c>
      <c r="H253" t="s">
        <v>15</v>
      </c>
      <c r="I253">
        <v>2.2599999999999998</v>
      </c>
      <c r="J253">
        <v>0.63</v>
      </c>
      <c r="K253" s="4" t="s">
        <v>118</v>
      </c>
    </row>
    <row r="254" spans="1:15" x14ac:dyDescent="0.3">
      <c r="A254">
        <v>11</v>
      </c>
      <c r="B254">
        <v>1</v>
      </c>
      <c r="D254" t="s">
        <v>58</v>
      </c>
      <c r="F254" t="s">
        <v>23</v>
      </c>
      <c r="G254" t="s">
        <v>25</v>
      </c>
      <c r="H254" t="s">
        <v>15</v>
      </c>
      <c r="I254">
        <v>1.96</v>
      </c>
      <c r="J254">
        <v>0.67</v>
      </c>
      <c r="K254" s="4" t="s">
        <v>120</v>
      </c>
    </row>
    <row r="255" spans="1:15" x14ac:dyDescent="0.3">
      <c r="A255">
        <v>11</v>
      </c>
      <c r="B255">
        <v>1</v>
      </c>
      <c r="D255" t="s">
        <v>58</v>
      </c>
      <c r="F255" t="s">
        <v>23</v>
      </c>
      <c r="G255" t="s">
        <v>25</v>
      </c>
      <c r="H255" t="s">
        <v>15</v>
      </c>
      <c r="I255">
        <v>2.0099999999999998</v>
      </c>
      <c r="J255">
        <v>0.65</v>
      </c>
      <c r="K255" s="4" t="s">
        <v>120</v>
      </c>
    </row>
    <row r="256" spans="1:15" x14ac:dyDescent="0.3">
      <c r="A256">
        <v>11</v>
      </c>
      <c r="B256">
        <v>1</v>
      </c>
      <c r="D256" t="s">
        <v>58</v>
      </c>
      <c r="F256" t="s">
        <v>23</v>
      </c>
      <c r="G256" t="s">
        <v>25</v>
      </c>
      <c r="H256" t="s">
        <v>15</v>
      </c>
      <c r="I256">
        <v>2.0699999999999998</v>
      </c>
      <c r="J256">
        <v>0.57999999999999996</v>
      </c>
      <c r="K256" s="4" t="s">
        <v>120</v>
      </c>
    </row>
    <row r="257" spans="1:11" x14ac:dyDescent="0.3">
      <c r="A257">
        <v>11</v>
      </c>
      <c r="B257">
        <v>1</v>
      </c>
      <c r="D257" t="s">
        <v>58</v>
      </c>
      <c r="F257" t="s">
        <v>23</v>
      </c>
      <c r="G257" t="s">
        <v>25</v>
      </c>
      <c r="H257" t="s">
        <v>15</v>
      </c>
      <c r="I257">
        <v>2.58</v>
      </c>
      <c r="J257">
        <v>0.8</v>
      </c>
      <c r="K257" s="4" t="s">
        <v>120</v>
      </c>
    </row>
    <row r="258" spans="1:11" x14ac:dyDescent="0.3">
      <c r="A258">
        <v>11</v>
      </c>
      <c r="B258">
        <v>1</v>
      </c>
      <c r="D258" t="s">
        <v>58</v>
      </c>
      <c r="F258" t="s">
        <v>23</v>
      </c>
      <c r="G258" t="s">
        <v>25</v>
      </c>
      <c r="H258" t="s">
        <v>15</v>
      </c>
      <c r="I258">
        <v>2.2599999999999998</v>
      </c>
      <c r="J258">
        <v>0.7</v>
      </c>
      <c r="K258" s="4" t="s">
        <v>120</v>
      </c>
    </row>
    <row r="259" spans="1:11" s="7" customFormat="1" x14ac:dyDescent="0.3">
      <c r="A259">
        <v>11</v>
      </c>
      <c r="B259">
        <v>1</v>
      </c>
      <c r="C259"/>
      <c r="D259" t="s">
        <v>58</v>
      </c>
      <c r="E259" s="3"/>
      <c r="F259" t="s">
        <v>23</v>
      </c>
      <c r="G259" t="s">
        <v>25</v>
      </c>
      <c r="H259" t="s">
        <v>15</v>
      </c>
      <c r="I259" s="7">
        <v>1.77</v>
      </c>
      <c r="J259" s="7">
        <v>0.45</v>
      </c>
      <c r="K259" s="4" t="s">
        <v>120</v>
      </c>
    </row>
    <row r="260" spans="1:11" x14ac:dyDescent="0.3">
      <c r="A260">
        <v>11</v>
      </c>
      <c r="B260">
        <v>1</v>
      </c>
      <c r="D260" t="s">
        <v>58</v>
      </c>
      <c r="F260" t="s">
        <v>23</v>
      </c>
      <c r="G260" t="s">
        <v>25</v>
      </c>
      <c r="H260" t="s">
        <v>15</v>
      </c>
      <c r="I260">
        <v>2.2000000000000002</v>
      </c>
      <c r="J260">
        <v>0.61</v>
      </c>
      <c r="K260" s="4" t="s">
        <v>120</v>
      </c>
    </row>
    <row r="261" spans="1:11" x14ac:dyDescent="0.3">
      <c r="A261">
        <v>11</v>
      </c>
      <c r="B261">
        <v>1</v>
      </c>
      <c r="D261" t="s">
        <v>58</v>
      </c>
      <c r="F261" t="s">
        <v>23</v>
      </c>
      <c r="G261" t="s">
        <v>25</v>
      </c>
      <c r="H261" t="s">
        <v>15</v>
      </c>
      <c r="I261">
        <v>2.11</v>
      </c>
      <c r="J261">
        <v>0.64</v>
      </c>
      <c r="K261" s="4" t="s">
        <v>120</v>
      </c>
    </row>
    <row r="262" spans="1:11" x14ac:dyDescent="0.3">
      <c r="A262">
        <v>11</v>
      </c>
      <c r="B262">
        <v>1</v>
      </c>
      <c r="D262" t="s">
        <v>58</v>
      </c>
      <c r="F262" t="s">
        <v>23</v>
      </c>
      <c r="G262" t="s">
        <v>25</v>
      </c>
      <c r="H262" t="s">
        <v>15</v>
      </c>
      <c r="I262">
        <v>1.98</v>
      </c>
      <c r="J262">
        <v>0.55000000000000004</v>
      </c>
      <c r="K262" s="4" t="s">
        <v>120</v>
      </c>
    </row>
    <row r="263" spans="1:11" x14ac:dyDescent="0.3">
      <c r="A263">
        <v>11</v>
      </c>
      <c r="B263">
        <v>1</v>
      </c>
      <c r="D263" t="s">
        <v>58</v>
      </c>
      <c r="F263" t="s">
        <v>23</v>
      </c>
      <c r="G263" t="s">
        <v>25</v>
      </c>
      <c r="H263" t="s">
        <v>15</v>
      </c>
      <c r="I263">
        <v>2.23</v>
      </c>
      <c r="J263">
        <v>0.62</v>
      </c>
      <c r="K263" s="4" t="s">
        <v>120</v>
      </c>
    </row>
    <row r="264" spans="1:11" x14ac:dyDescent="0.3">
      <c r="A264">
        <v>11</v>
      </c>
      <c r="B264">
        <v>1</v>
      </c>
      <c r="D264" t="s">
        <v>58</v>
      </c>
      <c r="F264" t="s">
        <v>23</v>
      </c>
      <c r="G264" t="s">
        <v>25</v>
      </c>
      <c r="H264" t="s">
        <v>15</v>
      </c>
      <c r="I264">
        <v>2.4900000000000002</v>
      </c>
      <c r="J264">
        <v>0.81</v>
      </c>
      <c r="K264" s="4" t="s">
        <v>120</v>
      </c>
    </row>
    <row r="265" spans="1:11" x14ac:dyDescent="0.3">
      <c r="A265">
        <v>11</v>
      </c>
      <c r="B265">
        <v>1</v>
      </c>
      <c r="D265" t="s">
        <v>58</v>
      </c>
      <c r="F265" t="s">
        <v>23</v>
      </c>
      <c r="G265" t="s">
        <v>27</v>
      </c>
      <c r="H265" t="s">
        <v>15</v>
      </c>
      <c r="I265">
        <v>2.7778</v>
      </c>
      <c r="J265">
        <v>0.7752</v>
      </c>
      <c r="K265" s="4" t="s">
        <v>121</v>
      </c>
    </row>
    <row r="266" spans="1:11" x14ac:dyDescent="0.3">
      <c r="A266">
        <v>11</v>
      </c>
      <c r="B266">
        <v>1</v>
      </c>
      <c r="D266" t="s">
        <v>58</v>
      </c>
      <c r="F266" t="s">
        <v>23</v>
      </c>
      <c r="G266" t="s">
        <v>59</v>
      </c>
      <c r="H266" t="s">
        <v>14</v>
      </c>
      <c r="I266">
        <v>3.0362</v>
      </c>
      <c r="J266" s="4">
        <v>0.90439999999999998</v>
      </c>
      <c r="K266" s="4" t="s">
        <v>122</v>
      </c>
    </row>
    <row r="267" spans="1:11" x14ac:dyDescent="0.3">
      <c r="A267">
        <v>11</v>
      </c>
      <c r="B267">
        <v>1</v>
      </c>
      <c r="D267" t="s">
        <v>58</v>
      </c>
      <c r="F267" t="s">
        <v>23</v>
      </c>
      <c r="G267" t="s">
        <v>25</v>
      </c>
      <c r="H267" t="s">
        <v>14</v>
      </c>
      <c r="I267">
        <v>1.5</v>
      </c>
      <c r="J267">
        <v>0.43</v>
      </c>
      <c r="K267" s="4" t="s">
        <v>123</v>
      </c>
    </row>
    <row r="268" spans="1:11" x14ac:dyDescent="0.3">
      <c r="A268">
        <v>11</v>
      </c>
      <c r="B268">
        <v>1</v>
      </c>
      <c r="D268" t="s">
        <v>58</v>
      </c>
      <c r="F268" t="s">
        <v>23</v>
      </c>
      <c r="G268" t="s">
        <v>25</v>
      </c>
      <c r="H268" t="s">
        <v>14</v>
      </c>
      <c r="I268">
        <v>1.74</v>
      </c>
      <c r="J268">
        <v>0.5</v>
      </c>
      <c r="K268" s="4" t="s">
        <v>123</v>
      </c>
    </row>
    <row r="269" spans="1:11" x14ac:dyDescent="0.3">
      <c r="A269">
        <v>11</v>
      </c>
      <c r="B269">
        <v>1</v>
      </c>
      <c r="D269" t="s">
        <v>58</v>
      </c>
      <c r="F269" t="s">
        <v>23</v>
      </c>
      <c r="G269" t="s">
        <v>25</v>
      </c>
      <c r="H269" t="s">
        <v>14</v>
      </c>
      <c r="I269">
        <v>1.64</v>
      </c>
      <c r="J269">
        <v>0.48</v>
      </c>
      <c r="K269" s="4" t="s">
        <v>123</v>
      </c>
    </row>
    <row r="270" spans="1:11" x14ac:dyDescent="0.3">
      <c r="A270">
        <v>11</v>
      </c>
      <c r="B270">
        <v>1</v>
      </c>
      <c r="D270" t="s">
        <v>58</v>
      </c>
      <c r="F270" t="s">
        <v>23</v>
      </c>
      <c r="G270" t="s">
        <v>25</v>
      </c>
      <c r="H270" t="s">
        <v>14</v>
      </c>
      <c r="I270">
        <v>1.48</v>
      </c>
      <c r="J270">
        <v>0.4</v>
      </c>
      <c r="K270" s="4" t="s">
        <v>123</v>
      </c>
    </row>
    <row r="271" spans="1:11" x14ac:dyDescent="0.3">
      <c r="A271">
        <v>11</v>
      </c>
      <c r="B271">
        <v>1</v>
      </c>
      <c r="D271" t="s">
        <v>58</v>
      </c>
      <c r="F271" t="s">
        <v>23</v>
      </c>
      <c r="G271" t="s">
        <v>25</v>
      </c>
      <c r="H271" t="s">
        <v>14</v>
      </c>
      <c r="I271">
        <v>1.65</v>
      </c>
      <c r="J271">
        <v>0.48</v>
      </c>
      <c r="K271" s="4" t="s">
        <v>123</v>
      </c>
    </row>
    <row r="272" spans="1:11" x14ac:dyDescent="0.3">
      <c r="A272">
        <v>11</v>
      </c>
      <c r="B272">
        <v>1</v>
      </c>
      <c r="D272" t="s">
        <v>58</v>
      </c>
      <c r="F272" t="s">
        <v>23</v>
      </c>
      <c r="G272" t="s">
        <v>25</v>
      </c>
      <c r="H272" t="s">
        <v>14</v>
      </c>
      <c r="I272">
        <v>1.68</v>
      </c>
      <c r="J272">
        <v>0.49</v>
      </c>
      <c r="K272" s="4" t="s">
        <v>123</v>
      </c>
    </row>
    <row r="273" spans="1:11" x14ac:dyDescent="0.3">
      <c r="A273">
        <v>11</v>
      </c>
      <c r="B273">
        <v>1</v>
      </c>
      <c r="D273" t="s">
        <v>58</v>
      </c>
      <c r="F273" t="s">
        <v>23</v>
      </c>
      <c r="G273" t="s">
        <v>25</v>
      </c>
      <c r="H273" t="s">
        <v>14</v>
      </c>
      <c r="I273">
        <v>1.53</v>
      </c>
      <c r="J273">
        <v>0.51</v>
      </c>
      <c r="K273" s="4" t="s">
        <v>123</v>
      </c>
    </row>
    <row r="274" spans="1:11" x14ac:dyDescent="0.3">
      <c r="A274">
        <v>11</v>
      </c>
      <c r="B274">
        <v>1</v>
      </c>
      <c r="D274" t="s">
        <v>58</v>
      </c>
      <c r="F274" t="s">
        <v>23</v>
      </c>
      <c r="G274" t="s">
        <v>25</v>
      </c>
      <c r="H274" t="s">
        <v>14</v>
      </c>
      <c r="I274">
        <v>1.62</v>
      </c>
      <c r="J274">
        <v>0.47</v>
      </c>
      <c r="K274" s="4" t="s">
        <v>123</v>
      </c>
    </row>
    <row r="275" spans="1:11" x14ac:dyDescent="0.3">
      <c r="A275">
        <v>11</v>
      </c>
      <c r="B275">
        <v>1</v>
      </c>
      <c r="D275" t="s">
        <v>58</v>
      </c>
      <c r="F275" t="s">
        <v>23</v>
      </c>
      <c r="G275" t="s">
        <v>25</v>
      </c>
      <c r="H275" t="s">
        <v>14</v>
      </c>
      <c r="I275">
        <v>1.73</v>
      </c>
      <c r="J275">
        <v>0.5</v>
      </c>
      <c r="K275" s="4" t="s">
        <v>123</v>
      </c>
    </row>
    <row r="276" spans="1:11" x14ac:dyDescent="0.3">
      <c r="A276">
        <v>11</v>
      </c>
      <c r="B276">
        <v>1</v>
      </c>
      <c r="D276" t="s">
        <v>58</v>
      </c>
      <c r="F276" t="s">
        <v>23</v>
      </c>
      <c r="G276" t="s">
        <v>25</v>
      </c>
      <c r="H276" t="s">
        <v>14</v>
      </c>
      <c r="I276">
        <v>1.27</v>
      </c>
      <c r="J276">
        <v>0.44</v>
      </c>
      <c r="K276" s="4" t="s">
        <v>123</v>
      </c>
    </row>
    <row r="277" spans="1:11" x14ac:dyDescent="0.3">
      <c r="A277">
        <v>11</v>
      </c>
      <c r="B277">
        <v>1</v>
      </c>
      <c r="D277" t="s">
        <v>58</v>
      </c>
      <c r="F277" t="s">
        <v>23</v>
      </c>
      <c r="G277" t="s">
        <v>25</v>
      </c>
      <c r="H277" t="s">
        <v>14</v>
      </c>
      <c r="I277">
        <v>1.57</v>
      </c>
      <c r="J277">
        <v>0.41</v>
      </c>
      <c r="K277" s="4" t="s">
        <v>123</v>
      </c>
    </row>
    <row r="278" spans="1:11" x14ac:dyDescent="0.3">
      <c r="A278">
        <v>11</v>
      </c>
      <c r="B278">
        <v>1</v>
      </c>
      <c r="D278" t="s">
        <v>58</v>
      </c>
      <c r="F278" t="s">
        <v>23</v>
      </c>
      <c r="G278" t="s">
        <v>25</v>
      </c>
      <c r="H278" t="s">
        <v>124</v>
      </c>
      <c r="I278">
        <v>2.63</v>
      </c>
      <c r="J278">
        <v>0.75</v>
      </c>
      <c r="K278" s="4" t="s">
        <v>125</v>
      </c>
    </row>
    <row r="279" spans="1:11" x14ac:dyDescent="0.3">
      <c r="A279">
        <v>11</v>
      </c>
      <c r="B279">
        <v>1</v>
      </c>
      <c r="D279" t="s">
        <v>58</v>
      </c>
      <c r="F279" t="s">
        <v>23</v>
      </c>
      <c r="G279" t="s">
        <v>25</v>
      </c>
      <c r="H279" t="s">
        <v>124</v>
      </c>
      <c r="I279">
        <v>2.29</v>
      </c>
      <c r="J279">
        <v>0.69</v>
      </c>
      <c r="K279" s="4" t="s">
        <v>125</v>
      </c>
    </row>
    <row r="280" spans="1:11" x14ac:dyDescent="0.3">
      <c r="A280">
        <v>11</v>
      </c>
      <c r="B280">
        <v>1</v>
      </c>
      <c r="D280" t="s">
        <v>58</v>
      </c>
      <c r="F280" t="s">
        <v>23</v>
      </c>
      <c r="G280" t="s">
        <v>25</v>
      </c>
      <c r="H280" t="s">
        <v>124</v>
      </c>
      <c r="I280">
        <v>2.99</v>
      </c>
      <c r="J280">
        <v>0.89</v>
      </c>
      <c r="K280" s="4" t="s">
        <v>125</v>
      </c>
    </row>
    <row r="281" spans="1:11" x14ac:dyDescent="0.3">
      <c r="A281">
        <v>11</v>
      </c>
      <c r="B281">
        <v>1</v>
      </c>
      <c r="D281" t="s">
        <v>58</v>
      </c>
      <c r="F281" t="s">
        <v>23</v>
      </c>
      <c r="G281" t="s">
        <v>25</v>
      </c>
      <c r="H281" t="s">
        <v>124</v>
      </c>
      <c r="I281">
        <v>2.59</v>
      </c>
      <c r="J281">
        <v>0.74</v>
      </c>
      <c r="K281" s="4" t="s">
        <v>125</v>
      </c>
    </row>
    <row r="282" spans="1:11" x14ac:dyDescent="0.3">
      <c r="A282">
        <v>11</v>
      </c>
      <c r="B282">
        <v>1</v>
      </c>
      <c r="D282" t="s">
        <v>58</v>
      </c>
      <c r="F282" t="s">
        <v>23</v>
      </c>
      <c r="G282" t="s">
        <v>25</v>
      </c>
      <c r="H282" t="s">
        <v>124</v>
      </c>
      <c r="I282">
        <v>2.85</v>
      </c>
      <c r="J282">
        <v>0.94</v>
      </c>
      <c r="K282" s="4" t="s">
        <v>125</v>
      </c>
    </row>
    <row r="283" spans="1:11" x14ac:dyDescent="0.3">
      <c r="A283">
        <v>11</v>
      </c>
      <c r="B283">
        <v>1</v>
      </c>
      <c r="D283" t="s">
        <v>58</v>
      </c>
      <c r="F283" t="s">
        <v>23</v>
      </c>
      <c r="G283" t="s">
        <v>61</v>
      </c>
      <c r="H283" t="s">
        <v>126</v>
      </c>
      <c r="I283">
        <v>7.54</v>
      </c>
      <c r="J283">
        <v>5.17</v>
      </c>
      <c r="K283" t="s">
        <v>127</v>
      </c>
    </row>
    <row r="284" spans="1:11" x14ac:dyDescent="0.3">
      <c r="A284">
        <v>11</v>
      </c>
      <c r="B284">
        <v>1</v>
      </c>
      <c r="D284" t="s">
        <v>58</v>
      </c>
      <c r="F284" t="s">
        <v>23</v>
      </c>
      <c r="G284" t="s">
        <v>61</v>
      </c>
      <c r="H284" t="s">
        <v>126</v>
      </c>
      <c r="I284">
        <v>2.17</v>
      </c>
      <c r="J284">
        <v>2.0299999999999998</v>
      </c>
      <c r="K284" t="s">
        <v>127</v>
      </c>
    </row>
    <row r="285" spans="1:11" x14ac:dyDescent="0.3">
      <c r="A285">
        <v>11</v>
      </c>
      <c r="B285">
        <v>1</v>
      </c>
      <c r="D285" t="s">
        <v>58</v>
      </c>
      <c r="F285" t="s">
        <v>23</v>
      </c>
      <c r="G285" t="s">
        <v>61</v>
      </c>
      <c r="H285" t="s">
        <v>126</v>
      </c>
      <c r="I285">
        <v>2.04</v>
      </c>
      <c r="J285">
        <v>1.9</v>
      </c>
      <c r="K285" t="s">
        <v>127</v>
      </c>
    </row>
    <row r="286" spans="1:11" x14ac:dyDescent="0.3">
      <c r="A286">
        <v>11</v>
      </c>
      <c r="B286">
        <v>1</v>
      </c>
      <c r="D286" t="s">
        <v>58</v>
      </c>
      <c r="F286" t="s">
        <v>23</v>
      </c>
      <c r="G286" t="s">
        <v>61</v>
      </c>
      <c r="H286" t="s">
        <v>126</v>
      </c>
      <c r="I286">
        <v>2.5299999999999998</v>
      </c>
      <c r="J286">
        <v>3.1</v>
      </c>
      <c r="K286" t="s">
        <v>127</v>
      </c>
    </row>
    <row r="287" spans="1:11" x14ac:dyDescent="0.3">
      <c r="A287">
        <v>11</v>
      </c>
      <c r="B287">
        <v>1</v>
      </c>
      <c r="D287" t="s">
        <v>58</v>
      </c>
      <c r="F287" t="s">
        <v>23</v>
      </c>
      <c r="G287" t="s">
        <v>61</v>
      </c>
      <c r="H287" t="s">
        <v>126</v>
      </c>
      <c r="I287">
        <v>1.43</v>
      </c>
      <c r="J287">
        <v>1.42</v>
      </c>
      <c r="K287" t="s">
        <v>127</v>
      </c>
    </row>
    <row r="288" spans="1:11" x14ac:dyDescent="0.3">
      <c r="A288">
        <v>11</v>
      </c>
      <c r="B288">
        <v>1</v>
      </c>
      <c r="D288" t="s">
        <v>58</v>
      </c>
      <c r="F288" t="s">
        <v>23</v>
      </c>
      <c r="G288" t="s">
        <v>61</v>
      </c>
      <c r="H288" t="s">
        <v>126</v>
      </c>
      <c r="I288">
        <v>2.27</v>
      </c>
      <c r="J288">
        <v>1.87</v>
      </c>
      <c r="K288" t="s">
        <v>127</v>
      </c>
    </row>
    <row r="289" spans="1:14" x14ac:dyDescent="0.3">
      <c r="A289">
        <v>11</v>
      </c>
      <c r="B289">
        <v>1</v>
      </c>
      <c r="D289" t="s">
        <v>58</v>
      </c>
      <c r="F289" t="s">
        <v>23</v>
      </c>
      <c r="G289" t="s">
        <v>61</v>
      </c>
      <c r="H289" t="s">
        <v>126</v>
      </c>
      <c r="I289">
        <v>3.03</v>
      </c>
      <c r="J289">
        <v>3.24</v>
      </c>
      <c r="K289" t="s">
        <v>127</v>
      </c>
    </row>
    <row r="290" spans="1:14" x14ac:dyDescent="0.3">
      <c r="A290">
        <v>11</v>
      </c>
      <c r="B290">
        <v>1</v>
      </c>
      <c r="D290" t="s">
        <v>58</v>
      </c>
      <c r="F290" t="s">
        <v>23</v>
      </c>
      <c r="G290" t="s">
        <v>61</v>
      </c>
      <c r="H290" t="s">
        <v>126</v>
      </c>
      <c r="I290">
        <v>2.38</v>
      </c>
      <c r="J290">
        <v>2.17</v>
      </c>
      <c r="K290" t="s">
        <v>127</v>
      </c>
    </row>
    <row r="291" spans="1:14" x14ac:dyDescent="0.3">
      <c r="A291">
        <v>11</v>
      </c>
      <c r="B291">
        <v>1</v>
      </c>
      <c r="D291" t="s">
        <v>58</v>
      </c>
      <c r="F291" t="s">
        <v>23</v>
      </c>
      <c r="G291" t="s">
        <v>61</v>
      </c>
      <c r="H291" t="s">
        <v>126</v>
      </c>
      <c r="I291">
        <v>3.03</v>
      </c>
      <c r="J291">
        <v>2.69</v>
      </c>
      <c r="K291" t="s">
        <v>127</v>
      </c>
    </row>
    <row r="292" spans="1:14" x14ac:dyDescent="0.3">
      <c r="A292">
        <v>11</v>
      </c>
      <c r="B292">
        <v>1</v>
      </c>
      <c r="D292" t="s">
        <v>58</v>
      </c>
      <c r="F292" t="s">
        <v>23</v>
      </c>
      <c r="G292" t="s">
        <v>89</v>
      </c>
      <c r="H292" t="s">
        <v>126</v>
      </c>
      <c r="I292">
        <v>3.78</v>
      </c>
      <c r="J292">
        <v>2.42</v>
      </c>
      <c r="K292" s="4" t="s">
        <v>128</v>
      </c>
      <c r="N292" t="s">
        <v>129</v>
      </c>
    </row>
    <row r="293" spans="1:14" x14ac:dyDescent="0.3">
      <c r="A293">
        <v>11</v>
      </c>
      <c r="B293">
        <v>1</v>
      </c>
      <c r="D293" t="s">
        <v>58</v>
      </c>
      <c r="F293" t="s">
        <v>23</v>
      </c>
      <c r="G293" t="s">
        <v>89</v>
      </c>
      <c r="H293" t="s">
        <v>126</v>
      </c>
      <c r="I293">
        <v>2.4300000000000002</v>
      </c>
      <c r="J293">
        <v>1.62</v>
      </c>
      <c r="K293" s="4" t="s">
        <v>128</v>
      </c>
    </row>
    <row r="294" spans="1:14" x14ac:dyDescent="0.3">
      <c r="A294">
        <v>11</v>
      </c>
      <c r="B294">
        <v>1</v>
      </c>
      <c r="D294" t="s">
        <v>58</v>
      </c>
      <c r="F294" t="s">
        <v>23</v>
      </c>
      <c r="G294" t="s">
        <v>89</v>
      </c>
      <c r="H294" t="s">
        <v>126</v>
      </c>
      <c r="I294">
        <v>2.4500000000000002</v>
      </c>
      <c r="J294">
        <v>1.44</v>
      </c>
      <c r="K294" s="4" t="s">
        <v>128</v>
      </c>
    </row>
    <row r="295" spans="1:14" x14ac:dyDescent="0.3">
      <c r="A295">
        <v>11</v>
      </c>
      <c r="B295">
        <v>1</v>
      </c>
      <c r="D295" t="s">
        <v>58</v>
      </c>
      <c r="F295" t="s">
        <v>23</v>
      </c>
      <c r="G295" t="s">
        <v>60</v>
      </c>
      <c r="H295" t="s">
        <v>126</v>
      </c>
      <c r="I295">
        <v>4.68</v>
      </c>
      <c r="J295">
        <v>0.96</v>
      </c>
      <c r="K295" s="4" t="s">
        <v>130</v>
      </c>
      <c r="N295" t="s">
        <v>131</v>
      </c>
    </row>
    <row r="296" spans="1:14" x14ac:dyDescent="0.3">
      <c r="A296">
        <v>11</v>
      </c>
      <c r="B296">
        <v>1</v>
      </c>
      <c r="D296" t="s">
        <v>58</v>
      </c>
      <c r="F296" t="s">
        <v>23</v>
      </c>
      <c r="G296" t="s">
        <v>60</v>
      </c>
      <c r="H296" t="s">
        <v>126</v>
      </c>
      <c r="I296">
        <v>3.72</v>
      </c>
      <c r="J296">
        <v>0.33</v>
      </c>
      <c r="K296" s="4" t="s">
        <v>130</v>
      </c>
      <c r="N296" t="s">
        <v>131</v>
      </c>
    </row>
    <row r="297" spans="1:14" x14ac:dyDescent="0.3">
      <c r="A297">
        <v>11</v>
      </c>
      <c r="B297">
        <v>1</v>
      </c>
      <c r="D297" t="s">
        <v>58</v>
      </c>
      <c r="F297" t="s">
        <v>23</v>
      </c>
      <c r="G297" t="s">
        <v>60</v>
      </c>
      <c r="H297" t="s">
        <v>126</v>
      </c>
      <c r="I297">
        <v>2.63</v>
      </c>
      <c r="J297">
        <v>31</v>
      </c>
      <c r="K297" s="4" t="s">
        <v>130</v>
      </c>
      <c r="N297" t="s">
        <v>131</v>
      </c>
    </row>
    <row r="298" spans="1:14" x14ac:dyDescent="0.3">
      <c r="A298">
        <v>11</v>
      </c>
      <c r="B298">
        <v>1</v>
      </c>
      <c r="D298" t="s">
        <v>58</v>
      </c>
      <c r="F298" t="s">
        <v>23</v>
      </c>
      <c r="G298" t="s">
        <v>60</v>
      </c>
      <c r="H298" t="s">
        <v>126</v>
      </c>
      <c r="I298">
        <v>1.68</v>
      </c>
      <c r="J298">
        <v>0.54</v>
      </c>
      <c r="K298" s="4" t="s">
        <v>130</v>
      </c>
      <c r="N298" t="s">
        <v>131</v>
      </c>
    </row>
    <row r="299" spans="1:14" x14ac:dyDescent="0.3">
      <c r="A299">
        <v>11</v>
      </c>
      <c r="B299">
        <v>1</v>
      </c>
      <c r="D299" t="s">
        <v>58</v>
      </c>
      <c r="F299" t="s">
        <v>23</v>
      </c>
      <c r="G299" t="s">
        <v>60</v>
      </c>
      <c r="H299" t="s">
        <v>126</v>
      </c>
      <c r="I299">
        <v>3.77</v>
      </c>
      <c r="J299">
        <v>1.78</v>
      </c>
      <c r="K299" s="4" t="s">
        <v>132</v>
      </c>
      <c r="N299" t="s">
        <v>133</v>
      </c>
    </row>
    <row r="300" spans="1:14" x14ac:dyDescent="0.3">
      <c r="A300">
        <v>11</v>
      </c>
      <c r="B300">
        <v>1</v>
      </c>
      <c r="D300" t="s">
        <v>58</v>
      </c>
      <c r="F300" t="s">
        <v>23</v>
      </c>
      <c r="G300" t="s">
        <v>60</v>
      </c>
      <c r="H300" t="s">
        <v>126</v>
      </c>
      <c r="I300">
        <v>3.51</v>
      </c>
      <c r="J300">
        <v>2.56</v>
      </c>
      <c r="K300" s="4" t="s">
        <v>132</v>
      </c>
      <c r="N300" t="s">
        <v>133</v>
      </c>
    </row>
    <row r="301" spans="1:14" x14ac:dyDescent="0.3">
      <c r="A301">
        <v>11</v>
      </c>
      <c r="B301">
        <v>1</v>
      </c>
      <c r="D301" t="s">
        <v>58</v>
      </c>
      <c r="F301" t="s">
        <v>23</v>
      </c>
      <c r="G301" t="s">
        <v>60</v>
      </c>
      <c r="H301" t="s">
        <v>126</v>
      </c>
      <c r="I301">
        <v>3.26</v>
      </c>
      <c r="J301">
        <v>1.89</v>
      </c>
      <c r="K301" s="4" t="s">
        <v>132</v>
      </c>
      <c r="N301" t="s">
        <v>133</v>
      </c>
    </row>
    <row r="302" spans="1:14" x14ac:dyDescent="0.3">
      <c r="A302">
        <v>11</v>
      </c>
      <c r="B302">
        <v>1</v>
      </c>
      <c r="D302" t="s">
        <v>58</v>
      </c>
      <c r="F302" t="s">
        <v>23</v>
      </c>
      <c r="G302" t="s">
        <v>60</v>
      </c>
      <c r="H302" t="s">
        <v>126</v>
      </c>
      <c r="I302">
        <v>2.27</v>
      </c>
      <c r="J302">
        <v>2.1800000000000002</v>
      </c>
      <c r="K302" s="4" t="s">
        <v>132</v>
      </c>
      <c r="N302" t="s">
        <v>133</v>
      </c>
    </row>
    <row r="303" spans="1:14" x14ac:dyDescent="0.3">
      <c r="A303">
        <v>11</v>
      </c>
      <c r="B303">
        <v>1</v>
      </c>
      <c r="D303" t="s">
        <v>58</v>
      </c>
      <c r="F303" t="s">
        <v>23</v>
      </c>
      <c r="G303" t="s">
        <v>60</v>
      </c>
      <c r="H303" t="s">
        <v>126</v>
      </c>
      <c r="I303">
        <v>3.38</v>
      </c>
      <c r="J303">
        <v>0.9</v>
      </c>
      <c r="K303" s="4" t="s">
        <v>132</v>
      </c>
      <c r="N303" t="s">
        <v>133</v>
      </c>
    </row>
    <row r="304" spans="1:14" x14ac:dyDescent="0.3">
      <c r="A304">
        <v>11</v>
      </c>
      <c r="B304">
        <v>1</v>
      </c>
      <c r="D304" t="s">
        <v>58</v>
      </c>
      <c r="F304" t="s">
        <v>23</v>
      </c>
      <c r="G304" t="s">
        <v>60</v>
      </c>
      <c r="H304" t="s">
        <v>126</v>
      </c>
      <c r="I304">
        <v>2.4300000000000002</v>
      </c>
      <c r="J304">
        <v>0.98</v>
      </c>
      <c r="K304" s="4" t="s">
        <v>132</v>
      </c>
      <c r="N304" t="s">
        <v>133</v>
      </c>
    </row>
    <row r="305" spans="1:14" x14ac:dyDescent="0.3">
      <c r="A305">
        <v>11</v>
      </c>
      <c r="B305">
        <v>1</v>
      </c>
      <c r="D305" t="s">
        <v>58</v>
      </c>
      <c r="F305" t="s">
        <v>23</v>
      </c>
      <c r="G305" t="s">
        <v>60</v>
      </c>
      <c r="H305" t="s">
        <v>126</v>
      </c>
      <c r="I305">
        <v>3.28</v>
      </c>
      <c r="J305">
        <v>1.94</v>
      </c>
      <c r="K305" s="4" t="s">
        <v>132</v>
      </c>
      <c r="N305" t="s">
        <v>133</v>
      </c>
    </row>
    <row r="306" spans="1:14" x14ac:dyDescent="0.3">
      <c r="A306">
        <v>11</v>
      </c>
      <c r="B306">
        <v>1</v>
      </c>
      <c r="D306" t="s">
        <v>58</v>
      </c>
      <c r="F306" t="s">
        <v>23</v>
      </c>
      <c r="G306" t="s">
        <v>60</v>
      </c>
      <c r="H306" t="s">
        <v>126</v>
      </c>
      <c r="I306">
        <v>1.98</v>
      </c>
      <c r="J306">
        <v>1.05</v>
      </c>
      <c r="K306" s="4" t="s">
        <v>132</v>
      </c>
      <c r="N306" t="s">
        <v>133</v>
      </c>
    </row>
    <row r="307" spans="1:14" x14ac:dyDescent="0.3">
      <c r="A307">
        <v>11</v>
      </c>
      <c r="B307">
        <v>1</v>
      </c>
      <c r="D307" t="s">
        <v>58</v>
      </c>
      <c r="F307" t="s">
        <v>23</v>
      </c>
      <c r="G307" t="s">
        <v>60</v>
      </c>
      <c r="H307" t="s">
        <v>126</v>
      </c>
      <c r="I307">
        <v>3.12</v>
      </c>
      <c r="J307">
        <v>1.01</v>
      </c>
      <c r="K307" s="4" t="s">
        <v>132</v>
      </c>
      <c r="N307" t="s">
        <v>133</v>
      </c>
    </row>
    <row r="308" spans="1:14" x14ac:dyDescent="0.3">
      <c r="A308">
        <v>11</v>
      </c>
      <c r="B308">
        <v>1</v>
      </c>
      <c r="D308" t="s">
        <v>58</v>
      </c>
      <c r="F308" t="s">
        <v>23</v>
      </c>
      <c r="G308" t="s">
        <v>60</v>
      </c>
      <c r="H308" t="s">
        <v>126</v>
      </c>
      <c r="I308">
        <v>4.18</v>
      </c>
      <c r="J308">
        <v>2.0099999999999998</v>
      </c>
      <c r="K308" s="4" t="s">
        <v>134</v>
      </c>
      <c r="N308" t="s">
        <v>133</v>
      </c>
    </row>
    <row r="309" spans="1:14" x14ac:dyDescent="0.3">
      <c r="A309">
        <v>11</v>
      </c>
      <c r="B309">
        <v>1</v>
      </c>
      <c r="D309" t="s">
        <v>58</v>
      </c>
      <c r="F309" t="s">
        <v>23</v>
      </c>
      <c r="G309" t="s">
        <v>60</v>
      </c>
      <c r="H309" t="s">
        <v>126</v>
      </c>
      <c r="I309">
        <v>1.04</v>
      </c>
      <c r="J309">
        <v>0.57999999999999996</v>
      </c>
      <c r="K309" s="4" t="s">
        <v>134</v>
      </c>
      <c r="N309" t="s">
        <v>133</v>
      </c>
    </row>
    <row r="310" spans="1:14" x14ac:dyDescent="0.3">
      <c r="A310">
        <v>11</v>
      </c>
      <c r="B310">
        <v>1</v>
      </c>
      <c r="D310" t="s">
        <v>58</v>
      </c>
      <c r="F310" t="s">
        <v>23</v>
      </c>
      <c r="G310" t="s">
        <v>60</v>
      </c>
      <c r="H310" t="s">
        <v>126</v>
      </c>
      <c r="I310">
        <v>3.05</v>
      </c>
      <c r="J310">
        <v>3.12</v>
      </c>
      <c r="K310" s="4" t="s">
        <v>134</v>
      </c>
      <c r="N310" t="s">
        <v>133</v>
      </c>
    </row>
    <row r="311" spans="1:14" x14ac:dyDescent="0.3">
      <c r="A311">
        <v>11</v>
      </c>
      <c r="B311">
        <v>1</v>
      </c>
      <c r="D311" t="s">
        <v>58</v>
      </c>
      <c r="F311" t="s">
        <v>23</v>
      </c>
      <c r="G311" t="s">
        <v>60</v>
      </c>
      <c r="H311" t="s">
        <v>126</v>
      </c>
      <c r="I311">
        <v>4.05</v>
      </c>
      <c r="J311">
        <v>1.42</v>
      </c>
      <c r="K311" s="4" t="s">
        <v>134</v>
      </c>
      <c r="N311" t="s">
        <v>133</v>
      </c>
    </row>
    <row r="312" spans="1:14" x14ac:dyDescent="0.3">
      <c r="A312">
        <v>11</v>
      </c>
      <c r="B312">
        <v>1</v>
      </c>
      <c r="D312" t="s">
        <v>58</v>
      </c>
      <c r="F312" t="s">
        <v>23</v>
      </c>
      <c r="G312" t="s">
        <v>60</v>
      </c>
      <c r="H312" t="s">
        <v>126</v>
      </c>
      <c r="I312">
        <v>1.1299999999999999</v>
      </c>
      <c r="J312">
        <v>0.56999999999999995</v>
      </c>
      <c r="K312" s="4" t="s">
        <v>134</v>
      </c>
      <c r="N312" t="s">
        <v>133</v>
      </c>
    </row>
    <row r="313" spans="1:14" x14ac:dyDescent="0.3">
      <c r="A313">
        <v>11</v>
      </c>
      <c r="B313">
        <v>1</v>
      </c>
      <c r="D313" t="s">
        <v>58</v>
      </c>
      <c r="F313" t="s">
        <v>23</v>
      </c>
      <c r="G313" t="s">
        <v>60</v>
      </c>
      <c r="H313" t="s">
        <v>126</v>
      </c>
      <c r="I313">
        <v>2.31</v>
      </c>
      <c r="J313">
        <v>2.4900000000000002</v>
      </c>
      <c r="K313" s="4" t="s">
        <v>134</v>
      </c>
      <c r="N313" t="s">
        <v>133</v>
      </c>
    </row>
    <row r="314" spans="1:14" x14ac:dyDescent="0.3">
      <c r="A314">
        <v>11</v>
      </c>
      <c r="B314">
        <v>1</v>
      </c>
      <c r="D314" t="s">
        <v>58</v>
      </c>
      <c r="F314" t="s">
        <v>23</v>
      </c>
      <c r="G314" t="s">
        <v>60</v>
      </c>
      <c r="H314" t="s">
        <v>126</v>
      </c>
      <c r="I314">
        <v>1.59</v>
      </c>
      <c r="J314">
        <v>0.97</v>
      </c>
      <c r="K314" s="4" t="s">
        <v>134</v>
      </c>
      <c r="N314" t="s">
        <v>133</v>
      </c>
    </row>
    <row r="315" spans="1:14" x14ac:dyDescent="0.3">
      <c r="A315">
        <v>11</v>
      </c>
      <c r="B315">
        <v>1</v>
      </c>
      <c r="D315" t="s">
        <v>58</v>
      </c>
      <c r="F315" t="s">
        <v>23</v>
      </c>
      <c r="G315" t="s">
        <v>60</v>
      </c>
      <c r="H315" t="s">
        <v>126</v>
      </c>
      <c r="I315">
        <v>2.7</v>
      </c>
      <c r="J315">
        <v>1.36</v>
      </c>
      <c r="K315" s="4" t="s">
        <v>134</v>
      </c>
      <c r="N315" t="s">
        <v>133</v>
      </c>
    </row>
    <row r="316" spans="1:14" x14ac:dyDescent="0.3">
      <c r="A316">
        <v>11</v>
      </c>
      <c r="B316">
        <v>1</v>
      </c>
      <c r="D316" t="s">
        <v>58</v>
      </c>
      <c r="F316" t="s">
        <v>23</v>
      </c>
      <c r="G316" t="s">
        <v>60</v>
      </c>
      <c r="H316" t="s">
        <v>126</v>
      </c>
      <c r="I316">
        <v>3.65</v>
      </c>
      <c r="J316">
        <v>2.09</v>
      </c>
      <c r="K316" s="4" t="s">
        <v>134</v>
      </c>
      <c r="N316" t="s">
        <v>133</v>
      </c>
    </row>
    <row r="317" spans="1:14" x14ac:dyDescent="0.3">
      <c r="A317">
        <v>11</v>
      </c>
      <c r="B317">
        <v>1</v>
      </c>
      <c r="D317" t="s">
        <v>58</v>
      </c>
      <c r="F317" t="s">
        <v>23</v>
      </c>
      <c r="G317" t="s">
        <v>60</v>
      </c>
      <c r="H317" t="s">
        <v>126</v>
      </c>
      <c r="I317">
        <v>3.18</v>
      </c>
      <c r="J317">
        <v>1.64</v>
      </c>
      <c r="K317" s="4" t="s">
        <v>134</v>
      </c>
      <c r="N317" t="s">
        <v>133</v>
      </c>
    </row>
    <row r="318" spans="1:14" x14ac:dyDescent="0.3">
      <c r="A318">
        <v>11</v>
      </c>
      <c r="B318">
        <v>1</v>
      </c>
      <c r="D318" t="s">
        <v>58</v>
      </c>
      <c r="F318" t="s">
        <v>23</v>
      </c>
      <c r="G318" t="s">
        <v>60</v>
      </c>
      <c r="H318" t="s">
        <v>126</v>
      </c>
      <c r="I318">
        <v>2.2000000000000002</v>
      </c>
      <c r="J318">
        <v>1.19</v>
      </c>
      <c r="K318" s="4" t="s">
        <v>134</v>
      </c>
      <c r="N318" t="s">
        <v>133</v>
      </c>
    </row>
    <row r="319" spans="1:14" x14ac:dyDescent="0.3">
      <c r="A319">
        <v>11</v>
      </c>
      <c r="B319">
        <v>1</v>
      </c>
      <c r="D319" t="s">
        <v>58</v>
      </c>
      <c r="F319" t="s">
        <v>23</v>
      </c>
      <c r="G319" t="s">
        <v>60</v>
      </c>
      <c r="H319" t="s">
        <v>126</v>
      </c>
      <c r="I319">
        <v>3.31</v>
      </c>
      <c r="J319">
        <v>0.74</v>
      </c>
      <c r="K319" s="4" t="s">
        <v>134</v>
      </c>
      <c r="N319" t="s">
        <v>133</v>
      </c>
    </row>
    <row r="320" spans="1:14" x14ac:dyDescent="0.3">
      <c r="A320">
        <v>11</v>
      </c>
      <c r="B320">
        <v>1</v>
      </c>
      <c r="D320" t="s">
        <v>58</v>
      </c>
      <c r="F320" t="s">
        <v>23</v>
      </c>
      <c r="G320" t="s">
        <v>60</v>
      </c>
      <c r="H320" t="s">
        <v>126</v>
      </c>
      <c r="I320">
        <v>1.46</v>
      </c>
      <c r="J320">
        <v>0.55000000000000004</v>
      </c>
      <c r="K320" s="4" t="s">
        <v>134</v>
      </c>
      <c r="N320" t="s">
        <v>133</v>
      </c>
    </row>
    <row r="321" spans="1:14" x14ac:dyDescent="0.3">
      <c r="A321">
        <v>11</v>
      </c>
      <c r="B321">
        <v>1</v>
      </c>
      <c r="D321" t="s">
        <v>58</v>
      </c>
      <c r="F321" t="s">
        <v>23</v>
      </c>
      <c r="G321" t="s">
        <v>60</v>
      </c>
      <c r="H321" t="s">
        <v>126</v>
      </c>
      <c r="I321">
        <v>1.9</v>
      </c>
      <c r="J321">
        <v>0.86</v>
      </c>
      <c r="K321" s="4" t="s">
        <v>134</v>
      </c>
      <c r="N321" t="s">
        <v>133</v>
      </c>
    </row>
    <row r="322" spans="1:14" x14ac:dyDescent="0.3">
      <c r="A322">
        <v>11</v>
      </c>
      <c r="B322">
        <v>1</v>
      </c>
      <c r="D322" t="s">
        <v>58</v>
      </c>
      <c r="F322" t="s">
        <v>23</v>
      </c>
      <c r="G322" t="s">
        <v>60</v>
      </c>
      <c r="H322" t="s">
        <v>126</v>
      </c>
      <c r="I322">
        <v>2.2000000000000002</v>
      </c>
      <c r="J322">
        <v>1.72</v>
      </c>
      <c r="K322" s="4" t="s">
        <v>134</v>
      </c>
      <c r="N322" t="s">
        <v>133</v>
      </c>
    </row>
    <row r="323" spans="1:14" x14ac:dyDescent="0.3">
      <c r="A323">
        <v>11</v>
      </c>
      <c r="B323">
        <v>1</v>
      </c>
      <c r="D323" t="s">
        <v>58</v>
      </c>
      <c r="F323" t="s">
        <v>23</v>
      </c>
      <c r="G323" t="s">
        <v>60</v>
      </c>
      <c r="H323" t="s">
        <v>126</v>
      </c>
      <c r="I323">
        <v>3.8</v>
      </c>
      <c r="J323">
        <v>2.16</v>
      </c>
      <c r="K323" s="4" t="s">
        <v>134</v>
      </c>
      <c r="N323" t="s">
        <v>133</v>
      </c>
    </row>
    <row r="324" spans="1:14" x14ac:dyDescent="0.3">
      <c r="A324">
        <v>11</v>
      </c>
      <c r="B324">
        <v>1</v>
      </c>
      <c r="D324" t="s">
        <v>58</v>
      </c>
      <c r="F324" t="s">
        <v>23</v>
      </c>
      <c r="G324" t="s">
        <v>60</v>
      </c>
      <c r="H324" t="s">
        <v>126</v>
      </c>
      <c r="I324">
        <v>2.65</v>
      </c>
      <c r="J324">
        <v>1.0900000000000001</v>
      </c>
      <c r="K324" t="s">
        <v>135</v>
      </c>
      <c r="N324" t="s">
        <v>133</v>
      </c>
    </row>
    <row r="325" spans="1:14" x14ac:dyDescent="0.3">
      <c r="A325">
        <v>11</v>
      </c>
      <c r="B325">
        <v>1</v>
      </c>
      <c r="D325" t="s">
        <v>58</v>
      </c>
      <c r="F325" t="s">
        <v>23</v>
      </c>
      <c r="G325" t="s">
        <v>60</v>
      </c>
      <c r="H325" t="s">
        <v>126</v>
      </c>
      <c r="I325">
        <v>2.1</v>
      </c>
      <c r="J325">
        <v>1.41</v>
      </c>
      <c r="K325" t="s">
        <v>135</v>
      </c>
      <c r="N325" t="s">
        <v>133</v>
      </c>
    </row>
    <row r="326" spans="1:14" x14ac:dyDescent="0.3">
      <c r="A326">
        <v>11</v>
      </c>
      <c r="B326">
        <v>1</v>
      </c>
      <c r="D326" t="s">
        <v>58</v>
      </c>
      <c r="F326" t="s">
        <v>23</v>
      </c>
      <c r="G326" t="s">
        <v>60</v>
      </c>
      <c r="H326" t="s">
        <v>126</v>
      </c>
      <c r="I326">
        <v>3.21</v>
      </c>
      <c r="J326">
        <v>2.38</v>
      </c>
      <c r="K326" t="s">
        <v>135</v>
      </c>
      <c r="N326" t="s">
        <v>133</v>
      </c>
    </row>
    <row r="327" spans="1:14" x14ac:dyDescent="0.3">
      <c r="A327">
        <v>11</v>
      </c>
      <c r="B327">
        <v>1</v>
      </c>
      <c r="D327" t="s">
        <v>58</v>
      </c>
      <c r="F327" t="s">
        <v>23</v>
      </c>
      <c r="G327" t="s">
        <v>60</v>
      </c>
      <c r="H327" t="s">
        <v>126</v>
      </c>
      <c r="I327">
        <v>1.91</v>
      </c>
      <c r="J327">
        <v>1.36</v>
      </c>
      <c r="K327" t="s">
        <v>135</v>
      </c>
      <c r="N327" t="s">
        <v>133</v>
      </c>
    </row>
    <row r="328" spans="1:14" x14ac:dyDescent="0.3">
      <c r="A328">
        <v>11</v>
      </c>
      <c r="B328">
        <v>1</v>
      </c>
      <c r="D328" t="s">
        <v>58</v>
      </c>
      <c r="F328" t="s">
        <v>23</v>
      </c>
      <c r="G328" t="s">
        <v>60</v>
      </c>
      <c r="H328" t="s">
        <v>126</v>
      </c>
      <c r="I328">
        <v>2.63</v>
      </c>
      <c r="J328">
        <v>1.22</v>
      </c>
      <c r="K328" t="s">
        <v>135</v>
      </c>
      <c r="N328" t="s">
        <v>133</v>
      </c>
    </row>
    <row r="329" spans="1:14" x14ac:dyDescent="0.3">
      <c r="A329">
        <v>11</v>
      </c>
      <c r="B329">
        <v>1</v>
      </c>
      <c r="D329" t="s">
        <v>58</v>
      </c>
      <c r="F329" t="s">
        <v>23</v>
      </c>
      <c r="G329" t="s">
        <v>60</v>
      </c>
      <c r="H329" t="s">
        <v>126</v>
      </c>
      <c r="I329">
        <v>2.39</v>
      </c>
      <c r="J329">
        <v>2.5499999999999998</v>
      </c>
      <c r="K329" t="s">
        <v>135</v>
      </c>
      <c r="N329" t="s">
        <v>133</v>
      </c>
    </row>
    <row r="330" spans="1:14" x14ac:dyDescent="0.3">
      <c r="A330">
        <v>11</v>
      </c>
      <c r="B330">
        <v>1</v>
      </c>
      <c r="D330" t="s">
        <v>58</v>
      </c>
      <c r="F330" t="s">
        <v>23</v>
      </c>
      <c r="G330" t="s">
        <v>60</v>
      </c>
      <c r="H330" t="s">
        <v>126</v>
      </c>
      <c r="I330">
        <v>1.17</v>
      </c>
      <c r="J330">
        <v>0.51</v>
      </c>
      <c r="K330" t="s">
        <v>135</v>
      </c>
      <c r="N330" t="s">
        <v>133</v>
      </c>
    </row>
    <row r="331" spans="1:14" x14ac:dyDescent="0.3">
      <c r="A331">
        <v>11</v>
      </c>
      <c r="B331">
        <v>1</v>
      </c>
      <c r="D331" t="s">
        <v>58</v>
      </c>
      <c r="F331" t="s">
        <v>23</v>
      </c>
      <c r="G331" t="s">
        <v>60</v>
      </c>
      <c r="H331" t="s">
        <v>126</v>
      </c>
      <c r="I331">
        <v>3.95</v>
      </c>
      <c r="J331">
        <v>1.96</v>
      </c>
      <c r="K331" t="s">
        <v>135</v>
      </c>
      <c r="N331" t="s">
        <v>133</v>
      </c>
    </row>
    <row r="332" spans="1:14" x14ac:dyDescent="0.3">
      <c r="A332">
        <v>11</v>
      </c>
      <c r="B332">
        <v>1</v>
      </c>
      <c r="D332" t="s">
        <v>58</v>
      </c>
      <c r="F332" t="s">
        <v>23</v>
      </c>
      <c r="G332" t="s">
        <v>60</v>
      </c>
      <c r="H332" t="s">
        <v>126</v>
      </c>
      <c r="I332">
        <v>5.13</v>
      </c>
      <c r="J332">
        <v>1.85</v>
      </c>
      <c r="K332" t="s">
        <v>135</v>
      </c>
      <c r="N332" t="s">
        <v>133</v>
      </c>
    </row>
    <row r="333" spans="1:14" x14ac:dyDescent="0.3">
      <c r="A333">
        <v>11</v>
      </c>
      <c r="B333">
        <v>1</v>
      </c>
      <c r="D333" t="s">
        <v>58</v>
      </c>
      <c r="F333" t="s">
        <v>23</v>
      </c>
      <c r="G333" t="s">
        <v>60</v>
      </c>
      <c r="H333" t="s">
        <v>126</v>
      </c>
      <c r="I333">
        <v>2.91</v>
      </c>
      <c r="J333">
        <v>1.51</v>
      </c>
      <c r="K333" t="s">
        <v>135</v>
      </c>
      <c r="N333" t="s">
        <v>133</v>
      </c>
    </row>
    <row r="334" spans="1:14" x14ac:dyDescent="0.3">
      <c r="A334">
        <v>11</v>
      </c>
      <c r="B334">
        <v>1</v>
      </c>
      <c r="D334" t="s">
        <v>58</v>
      </c>
      <c r="F334" t="s">
        <v>23</v>
      </c>
      <c r="G334" t="s">
        <v>60</v>
      </c>
      <c r="H334" t="s">
        <v>126</v>
      </c>
      <c r="I334">
        <v>2.36</v>
      </c>
      <c r="J334">
        <v>1.65</v>
      </c>
      <c r="K334" t="s">
        <v>135</v>
      </c>
      <c r="N334" t="s">
        <v>133</v>
      </c>
    </row>
    <row r="335" spans="1:14" x14ac:dyDescent="0.3">
      <c r="A335">
        <v>11</v>
      </c>
      <c r="B335">
        <v>1</v>
      </c>
      <c r="D335" t="s">
        <v>58</v>
      </c>
      <c r="F335" t="s">
        <v>23</v>
      </c>
      <c r="G335" t="s">
        <v>60</v>
      </c>
      <c r="H335" t="s">
        <v>126</v>
      </c>
      <c r="I335">
        <v>1.66</v>
      </c>
      <c r="J335">
        <v>0.92</v>
      </c>
      <c r="K335" t="s">
        <v>135</v>
      </c>
      <c r="N335" t="s">
        <v>133</v>
      </c>
    </row>
    <row r="336" spans="1:14" x14ac:dyDescent="0.3">
      <c r="A336">
        <v>11</v>
      </c>
      <c r="B336">
        <v>1</v>
      </c>
      <c r="D336" t="s">
        <v>58</v>
      </c>
      <c r="F336" t="s">
        <v>23</v>
      </c>
      <c r="G336" t="s">
        <v>60</v>
      </c>
      <c r="H336" t="s">
        <v>126</v>
      </c>
      <c r="I336">
        <v>3.15</v>
      </c>
      <c r="J336">
        <v>0.91</v>
      </c>
      <c r="K336" t="s">
        <v>135</v>
      </c>
      <c r="N336" t="s">
        <v>133</v>
      </c>
    </row>
    <row r="337" spans="1:14" x14ac:dyDescent="0.3">
      <c r="A337">
        <v>11</v>
      </c>
      <c r="B337">
        <v>1</v>
      </c>
      <c r="D337" t="s">
        <v>58</v>
      </c>
      <c r="F337" t="s">
        <v>23</v>
      </c>
      <c r="G337" t="s">
        <v>60</v>
      </c>
      <c r="H337" t="s">
        <v>126</v>
      </c>
      <c r="I337">
        <v>2.19</v>
      </c>
      <c r="J337">
        <v>1.64</v>
      </c>
      <c r="K337" t="s">
        <v>135</v>
      </c>
      <c r="N337" t="s">
        <v>133</v>
      </c>
    </row>
    <row r="338" spans="1:14" x14ac:dyDescent="0.3">
      <c r="A338">
        <v>11</v>
      </c>
      <c r="B338">
        <v>1</v>
      </c>
      <c r="D338" t="s">
        <v>58</v>
      </c>
      <c r="F338" t="s">
        <v>23</v>
      </c>
      <c r="G338" t="s">
        <v>60</v>
      </c>
      <c r="H338" t="s">
        <v>126</v>
      </c>
      <c r="I338">
        <v>2.5299999999999998</v>
      </c>
      <c r="J338">
        <v>0.77</v>
      </c>
      <c r="K338" s="4" t="s">
        <v>136</v>
      </c>
      <c r="N338" t="s">
        <v>133</v>
      </c>
    </row>
    <row r="339" spans="1:14" x14ac:dyDescent="0.3">
      <c r="A339">
        <v>11</v>
      </c>
      <c r="B339">
        <v>1</v>
      </c>
      <c r="D339" t="s">
        <v>58</v>
      </c>
      <c r="F339" t="s">
        <v>23</v>
      </c>
      <c r="G339" t="s">
        <v>60</v>
      </c>
      <c r="H339" t="s">
        <v>126</v>
      </c>
      <c r="I339">
        <v>3.88</v>
      </c>
      <c r="J339">
        <v>1.86</v>
      </c>
      <c r="K339" s="4" t="s">
        <v>136</v>
      </c>
      <c r="N339" t="s">
        <v>133</v>
      </c>
    </row>
    <row r="340" spans="1:14" x14ac:dyDescent="0.3">
      <c r="A340">
        <v>11</v>
      </c>
      <c r="B340">
        <v>1</v>
      </c>
      <c r="D340" t="s">
        <v>58</v>
      </c>
      <c r="F340" t="s">
        <v>23</v>
      </c>
      <c r="G340" t="s">
        <v>60</v>
      </c>
      <c r="H340" t="s">
        <v>126</v>
      </c>
      <c r="I340">
        <v>1.63</v>
      </c>
      <c r="J340">
        <v>0.92</v>
      </c>
      <c r="K340" s="4" t="s">
        <v>136</v>
      </c>
      <c r="N340" t="s">
        <v>133</v>
      </c>
    </row>
    <row r="341" spans="1:14" x14ac:dyDescent="0.3">
      <c r="A341">
        <v>11</v>
      </c>
      <c r="B341">
        <v>1</v>
      </c>
      <c r="D341" t="s">
        <v>58</v>
      </c>
      <c r="F341" t="s">
        <v>23</v>
      </c>
      <c r="G341" t="s">
        <v>60</v>
      </c>
      <c r="H341" t="s">
        <v>126</v>
      </c>
      <c r="I341">
        <v>1.02</v>
      </c>
      <c r="J341">
        <v>1.02</v>
      </c>
      <c r="K341" s="4" t="s">
        <v>136</v>
      </c>
      <c r="N341" t="s">
        <v>133</v>
      </c>
    </row>
    <row r="342" spans="1:14" x14ac:dyDescent="0.3">
      <c r="A342">
        <v>11</v>
      </c>
      <c r="B342">
        <v>1</v>
      </c>
      <c r="D342" t="s">
        <v>58</v>
      </c>
      <c r="F342" t="s">
        <v>23</v>
      </c>
      <c r="G342" t="s">
        <v>60</v>
      </c>
      <c r="H342" t="s">
        <v>126</v>
      </c>
      <c r="I342">
        <v>2.72</v>
      </c>
      <c r="J342">
        <v>0.52</v>
      </c>
      <c r="K342" s="4" t="s">
        <v>136</v>
      </c>
      <c r="N342" t="s">
        <v>133</v>
      </c>
    </row>
    <row r="343" spans="1:14" x14ac:dyDescent="0.3">
      <c r="A343">
        <v>11</v>
      </c>
      <c r="B343">
        <v>1</v>
      </c>
      <c r="D343" t="s">
        <v>58</v>
      </c>
      <c r="F343" t="s">
        <v>23</v>
      </c>
      <c r="G343" t="s">
        <v>60</v>
      </c>
      <c r="H343" t="s">
        <v>126</v>
      </c>
      <c r="I343">
        <v>1.31</v>
      </c>
      <c r="J343">
        <v>0.48</v>
      </c>
      <c r="K343" s="4" t="s">
        <v>136</v>
      </c>
      <c r="N343" t="s">
        <v>133</v>
      </c>
    </row>
    <row r="344" spans="1:14" x14ac:dyDescent="0.3">
      <c r="A344">
        <v>11</v>
      </c>
      <c r="B344">
        <v>1</v>
      </c>
      <c r="D344" t="s">
        <v>58</v>
      </c>
      <c r="F344" t="s">
        <v>23</v>
      </c>
      <c r="G344" t="s">
        <v>60</v>
      </c>
      <c r="H344" t="s">
        <v>126</v>
      </c>
      <c r="I344">
        <v>1.85</v>
      </c>
      <c r="J344">
        <v>0.43</v>
      </c>
      <c r="K344" s="4" t="s">
        <v>136</v>
      </c>
      <c r="N344" t="s">
        <v>133</v>
      </c>
    </row>
    <row r="345" spans="1:14" x14ac:dyDescent="0.3">
      <c r="A345">
        <v>11</v>
      </c>
      <c r="B345">
        <v>1</v>
      </c>
      <c r="D345" t="s">
        <v>58</v>
      </c>
      <c r="F345" t="s">
        <v>23</v>
      </c>
      <c r="G345" t="s">
        <v>60</v>
      </c>
      <c r="H345" t="s">
        <v>126</v>
      </c>
      <c r="I345">
        <v>2.31</v>
      </c>
      <c r="J345">
        <v>1.32</v>
      </c>
      <c r="K345" s="4" t="s">
        <v>136</v>
      </c>
      <c r="N345" t="s">
        <v>133</v>
      </c>
    </row>
    <row r="346" spans="1:14" x14ac:dyDescent="0.3">
      <c r="A346">
        <v>11</v>
      </c>
      <c r="B346">
        <v>1</v>
      </c>
      <c r="D346" t="s">
        <v>58</v>
      </c>
      <c r="F346" t="s">
        <v>23</v>
      </c>
      <c r="G346" t="s">
        <v>60</v>
      </c>
      <c r="H346" t="s">
        <v>126</v>
      </c>
      <c r="I346">
        <v>1.57</v>
      </c>
      <c r="J346">
        <v>0.94</v>
      </c>
      <c r="K346" s="4" t="s">
        <v>136</v>
      </c>
      <c r="N346" t="s">
        <v>133</v>
      </c>
    </row>
    <row r="347" spans="1:14" x14ac:dyDescent="0.3">
      <c r="A347">
        <v>11</v>
      </c>
      <c r="B347">
        <v>1</v>
      </c>
      <c r="D347" t="s">
        <v>58</v>
      </c>
      <c r="F347" t="s">
        <v>23</v>
      </c>
      <c r="G347" t="s">
        <v>60</v>
      </c>
      <c r="H347" t="s">
        <v>126</v>
      </c>
      <c r="I347">
        <v>1.57</v>
      </c>
      <c r="J347">
        <v>1.01</v>
      </c>
      <c r="K347" s="4" t="s">
        <v>136</v>
      </c>
      <c r="N347" t="s">
        <v>133</v>
      </c>
    </row>
    <row r="348" spans="1:14" x14ac:dyDescent="0.3">
      <c r="A348">
        <v>11</v>
      </c>
      <c r="B348">
        <v>1</v>
      </c>
      <c r="D348" t="s">
        <v>58</v>
      </c>
      <c r="F348" t="s">
        <v>23</v>
      </c>
      <c r="G348" t="s">
        <v>60</v>
      </c>
      <c r="H348" t="s">
        <v>126</v>
      </c>
      <c r="I348">
        <v>4.09</v>
      </c>
      <c r="J348">
        <v>2.1</v>
      </c>
      <c r="K348" s="4" t="s">
        <v>136</v>
      </c>
      <c r="N348" t="s">
        <v>133</v>
      </c>
    </row>
    <row r="349" spans="1:14" x14ac:dyDescent="0.3">
      <c r="A349">
        <v>11</v>
      </c>
      <c r="B349">
        <v>1</v>
      </c>
      <c r="D349" t="s">
        <v>58</v>
      </c>
      <c r="F349" t="s">
        <v>23</v>
      </c>
      <c r="G349" t="s">
        <v>60</v>
      </c>
      <c r="H349" t="s">
        <v>126</v>
      </c>
      <c r="I349">
        <v>3.49</v>
      </c>
      <c r="J349">
        <v>2.39</v>
      </c>
      <c r="K349" s="4" t="s">
        <v>136</v>
      </c>
      <c r="N349" t="s">
        <v>133</v>
      </c>
    </row>
    <row r="350" spans="1:14" x14ac:dyDescent="0.3">
      <c r="A350">
        <v>11</v>
      </c>
      <c r="B350">
        <v>1</v>
      </c>
      <c r="D350" t="s">
        <v>58</v>
      </c>
      <c r="F350" t="s">
        <v>23</v>
      </c>
      <c r="G350" t="s">
        <v>60</v>
      </c>
      <c r="H350" t="s">
        <v>126</v>
      </c>
      <c r="I350">
        <v>2.1800000000000002</v>
      </c>
      <c r="J350">
        <v>0.81</v>
      </c>
      <c r="K350" s="4" t="s">
        <v>136</v>
      </c>
      <c r="N350" t="s">
        <v>133</v>
      </c>
    </row>
    <row r="351" spans="1:14" x14ac:dyDescent="0.3">
      <c r="A351">
        <v>11</v>
      </c>
      <c r="B351">
        <v>1</v>
      </c>
      <c r="D351" t="s">
        <v>58</v>
      </c>
      <c r="F351" t="s">
        <v>23</v>
      </c>
      <c r="G351" t="s">
        <v>60</v>
      </c>
      <c r="H351" t="s">
        <v>126</v>
      </c>
      <c r="I351">
        <v>1.51</v>
      </c>
      <c r="J351">
        <v>0.66</v>
      </c>
      <c r="K351" s="4" t="s">
        <v>136</v>
      </c>
      <c r="N351" t="s">
        <v>133</v>
      </c>
    </row>
    <row r="352" spans="1:14" x14ac:dyDescent="0.3">
      <c r="A352">
        <v>11</v>
      </c>
      <c r="B352">
        <v>1</v>
      </c>
      <c r="D352" t="s">
        <v>58</v>
      </c>
      <c r="E352" s="3" t="s">
        <v>52</v>
      </c>
      <c r="F352" t="s">
        <v>23</v>
      </c>
      <c r="G352" t="s">
        <v>25</v>
      </c>
      <c r="H352" t="s">
        <v>15</v>
      </c>
      <c r="I352">
        <v>2.33</v>
      </c>
      <c r="J352">
        <v>0.71</v>
      </c>
      <c r="K352" s="4" t="s">
        <v>137</v>
      </c>
    </row>
    <row r="353" spans="1:14" x14ac:dyDescent="0.3">
      <c r="A353">
        <v>11</v>
      </c>
      <c r="B353">
        <v>1</v>
      </c>
      <c r="D353" t="s">
        <v>58</v>
      </c>
      <c r="E353" s="3" t="s">
        <v>52</v>
      </c>
      <c r="F353" t="s">
        <v>23</v>
      </c>
      <c r="G353" t="s">
        <v>25</v>
      </c>
      <c r="H353" t="s">
        <v>15</v>
      </c>
      <c r="I353">
        <v>2.3199999999999998</v>
      </c>
      <c r="J353">
        <v>0.78</v>
      </c>
      <c r="K353" s="4" t="s">
        <v>137</v>
      </c>
    </row>
    <row r="354" spans="1:14" x14ac:dyDescent="0.3">
      <c r="A354">
        <v>11</v>
      </c>
      <c r="B354">
        <v>1</v>
      </c>
      <c r="D354" t="s">
        <v>58</v>
      </c>
      <c r="E354" s="3" t="s">
        <v>52</v>
      </c>
      <c r="F354" t="s">
        <v>23</v>
      </c>
      <c r="G354" t="s">
        <v>60</v>
      </c>
      <c r="H354" t="s">
        <v>126</v>
      </c>
      <c r="I354">
        <v>9.02</v>
      </c>
      <c r="J354">
        <v>4.79</v>
      </c>
      <c r="K354" s="4" t="s">
        <v>138</v>
      </c>
      <c r="N354" t="s">
        <v>139</v>
      </c>
    </row>
    <row r="355" spans="1:14" x14ac:dyDescent="0.3">
      <c r="A355">
        <v>11</v>
      </c>
      <c r="B355">
        <v>1</v>
      </c>
      <c r="D355" t="s">
        <v>58</v>
      </c>
      <c r="E355" s="3" t="s">
        <v>52</v>
      </c>
      <c r="F355" t="s">
        <v>23</v>
      </c>
      <c r="G355" t="s">
        <v>60</v>
      </c>
      <c r="H355" t="s">
        <v>126</v>
      </c>
      <c r="I355">
        <v>3.59</v>
      </c>
      <c r="J355">
        <v>0.28999999999999998</v>
      </c>
      <c r="K355" s="4" t="s">
        <v>138</v>
      </c>
      <c r="N355" t="s">
        <v>139</v>
      </c>
    </row>
    <row r="356" spans="1:14" x14ac:dyDescent="0.3">
      <c r="A356">
        <v>11</v>
      </c>
      <c r="B356">
        <v>1</v>
      </c>
      <c r="D356" t="s">
        <v>58</v>
      </c>
      <c r="E356" s="3" t="s">
        <v>52</v>
      </c>
      <c r="F356" t="s">
        <v>23</v>
      </c>
      <c r="G356" t="s">
        <v>60</v>
      </c>
      <c r="H356" t="s">
        <v>126</v>
      </c>
      <c r="I356">
        <v>4.4400000000000004</v>
      </c>
      <c r="J356">
        <v>0.51</v>
      </c>
      <c r="K356" s="4" t="s">
        <v>138</v>
      </c>
      <c r="N356" t="s">
        <v>139</v>
      </c>
    </row>
    <row r="357" spans="1:14" x14ac:dyDescent="0.3">
      <c r="A357">
        <v>11</v>
      </c>
      <c r="B357">
        <v>1</v>
      </c>
      <c r="D357" t="s">
        <v>58</v>
      </c>
      <c r="E357" s="3" t="s">
        <v>52</v>
      </c>
      <c r="F357" t="s">
        <v>23</v>
      </c>
      <c r="G357" t="s">
        <v>60</v>
      </c>
      <c r="H357" t="s">
        <v>126</v>
      </c>
      <c r="I357">
        <v>4.2300000000000004</v>
      </c>
      <c r="J357">
        <v>0.85</v>
      </c>
      <c r="K357" s="4" t="s">
        <v>138</v>
      </c>
      <c r="N357" t="s">
        <v>140</v>
      </c>
    </row>
    <row r="358" spans="1:14" x14ac:dyDescent="0.3">
      <c r="A358">
        <v>11</v>
      </c>
      <c r="B358">
        <v>1</v>
      </c>
      <c r="D358" t="s">
        <v>58</v>
      </c>
      <c r="E358" s="3" t="s">
        <v>52</v>
      </c>
      <c r="F358" t="s">
        <v>23</v>
      </c>
      <c r="G358" t="s">
        <v>60</v>
      </c>
      <c r="H358" t="s">
        <v>126</v>
      </c>
      <c r="I358">
        <v>3.23</v>
      </c>
      <c r="J358">
        <v>0.86</v>
      </c>
      <c r="K358" s="4" t="s">
        <v>138</v>
      </c>
      <c r="N358" t="s">
        <v>140</v>
      </c>
    </row>
    <row r="359" spans="1:14" x14ac:dyDescent="0.3">
      <c r="A359">
        <v>11</v>
      </c>
      <c r="B359">
        <v>1</v>
      </c>
      <c r="D359" t="s">
        <v>58</v>
      </c>
      <c r="E359" s="3" t="s">
        <v>52</v>
      </c>
      <c r="F359" t="s">
        <v>23</v>
      </c>
      <c r="G359" t="s">
        <v>60</v>
      </c>
      <c r="H359" t="s">
        <v>126</v>
      </c>
      <c r="I359">
        <v>4.24</v>
      </c>
      <c r="J359">
        <v>0.59</v>
      </c>
      <c r="K359" s="4" t="s">
        <v>138</v>
      </c>
      <c r="N359" t="s">
        <v>139</v>
      </c>
    </row>
    <row r="360" spans="1:14" x14ac:dyDescent="0.3">
      <c r="A360">
        <v>11</v>
      </c>
      <c r="B360">
        <v>1</v>
      </c>
      <c r="D360" t="s">
        <v>58</v>
      </c>
      <c r="E360" s="3" t="s">
        <v>52</v>
      </c>
      <c r="F360" t="s">
        <v>23</v>
      </c>
      <c r="G360" t="s">
        <v>60</v>
      </c>
      <c r="H360" t="s">
        <v>126</v>
      </c>
      <c r="I360">
        <v>4.3099999999999996</v>
      </c>
      <c r="J360">
        <v>0.88</v>
      </c>
      <c r="K360" s="4" t="s">
        <v>138</v>
      </c>
      <c r="N360" t="s">
        <v>139</v>
      </c>
    </row>
    <row r="361" spans="1:14" x14ac:dyDescent="0.3">
      <c r="A361">
        <v>11</v>
      </c>
      <c r="B361">
        <v>1</v>
      </c>
      <c r="D361" t="s">
        <v>58</v>
      </c>
      <c r="E361" s="3" t="s">
        <v>52</v>
      </c>
      <c r="F361" t="s">
        <v>23</v>
      </c>
      <c r="G361" t="s">
        <v>60</v>
      </c>
      <c r="H361" t="s">
        <v>126</v>
      </c>
      <c r="I361">
        <v>3.59</v>
      </c>
      <c r="J361">
        <v>0.34</v>
      </c>
      <c r="K361" s="4" t="s">
        <v>138</v>
      </c>
      <c r="N361" t="s">
        <v>139</v>
      </c>
    </row>
    <row r="362" spans="1:14" x14ac:dyDescent="0.3">
      <c r="A362">
        <v>11</v>
      </c>
      <c r="B362">
        <v>1</v>
      </c>
      <c r="D362" t="s">
        <v>58</v>
      </c>
      <c r="E362" s="3" t="s">
        <v>52</v>
      </c>
      <c r="F362" t="s">
        <v>23</v>
      </c>
      <c r="G362" t="s">
        <v>60</v>
      </c>
      <c r="H362" t="s">
        <v>126</v>
      </c>
      <c r="I362">
        <v>4.8899999999999997</v>
      </c>
      <c r="J362">
        <v>1.23</v>
      </c>
      <c r="K362" s="4" t="s">
        <v>138</v>
      </c>
      <c r="N362" t="s">
        <v>140</v>
      </c>
    </row>
    <row r="363" spans="1:14" x14ac:dyDescent="0.3">
      <c r="A363">
        <v>11</v>
      </c>
      <c r="B363">
        <v>1</v>
      </c>
      <c r="D363" t="s">
        <v>58</v>
      </c>
      <c r="E363" s="3" t="s">
        <v>52</v>
      </c>
      <c r="F363" t="s">
        <v>23</v>
      </c>
      <c r="G363" t="s">
        <v>60</v>
      </c>
      <c r="H363" t="s">
        <v>126</v>
      </c>
      <c r="I363">
        <v>6.82</v>
      </c>
      <c r="J363">
        <v>1.9</v>
      </c>
      <c r="K363" s="4" t="s">
        <v>138</v>
      </c>
      <c r="N363" t="s">
        <v>139</v>
      </c>
    </row>
  </sheetData>
  <autoFilter ref="A1:K363" xr:uid="{79F96FEF-A263-0D42-8831-D70A1141F218}"/>
  <sortState xmlns:xlrd2="http://schemas.microsoft.com/office/spreadsheetml/2017/richdata2" ref="A2:K136">
    <sortCondition ref="G1:G136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abundance_data</vt:lpstr>
      <vt:lpstr>biomass_data</vt:lpstr>
      <vt:lpstr>size_data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Delphine Mossman</cp:lastModifiedBy>
  <cp:revision/>
  <dcterms:created xsi:type="dcterms:W3CDTF">2021-01-04T20:08:08Z</dcterms:created>
  <dcterms:modified xsi:type="dcterms:W3CDTF">2026-01-26T19:29:43Z</dcterms:modified>
  <cp:category/>
  <cp:contentStatus/>
</cp:coreProperties>
</file>