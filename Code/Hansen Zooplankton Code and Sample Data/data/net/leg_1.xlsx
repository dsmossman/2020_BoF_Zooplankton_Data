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17/data/net/"/>
    </mc:Choice>
  </mc:AlternateContent>
  <xr:revisionPtr revIDLastSave="0" documentId="13_ncr:1_{09E29BAE-C7A9-1B4E-A090-9FA98AB83E2E}" xr6:coauthVersionLast="45" xr6:coauthVersionMax="45" xr10:uidLastSave="{00000000-0000-0000-0000-000000000000}"/>
  <bookViews>
    <workbookView xWindow="0" yWindow="460" windowWidth="30000" windowHeight="18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O280" i="1" l="1"/>
  <c r="O269" i="1"/>
  <c r="O267" i="1"/>
  <c r="O266" i="1"/>
  <c r="O240" i="1"/>
  <c r="O238" i="1"/>
  <c r="O237" i="1"/>
  <c r="O207" i="1"/>
  <c r="O205" i="1"/>
  <c r="O204" i="1"/>
  <c r="O173" i="1"/>
  <c r="O171" i="1"/>
  <c r="O170" i="1"/>
  <c r="O93" i="1"/>
  <c r="O91" i="1"/>
  <c r="O90" i="1"/>
  <c r="O128" i="1"/>
  <c r="O126" i="1"/>
  <c r="O127" i="1" s="1"/>
  <c r="O30" i="1"/>
  <c r="O28" i="1"/>
  <c r="O48" i="1"/>
  <c r="O172" i="1" l="1"/>
  <c r="O92" i="1"/>
  <c r="O239" i="1"/>
  <c r="O206" i="1"/>
  <c r="O268" i="1"/>
</calcChain>
</file>

<file path=xl/sharedStrings.xml><?xml version="1.0" encoding="utf-8"?>
<sst xmlns="http://schemas.openxmlformats.org/spreadsheetml/2006/main" count="2123" uniqueCount="101">
  <si>
    <t>MISSION</t>
  </si>
  <si>
    <t>DATE</t>
  </si>
  <si>
    <t>STN</t>
  </si>
  <si>
    <t>TOW#</t>
  </si>
  <si>
    <t>GEAR</t>
  </si>
  <si>
    <t>EVENT</t>
  </si>
  <si>
    <t>SAMPLEID</t>
  </si>
  <si>
    <t>DEPTH</t>
  </si>
  <si>
    <t>ANALYSIS</t>
  </si>
  <si>
    <t>SPLIT</t>
  </si>
  <si>
    <t>ALIQUOT</t>
  </si>
  <si>
    <t>TAXA</t>
  </si>
  <si>
    <t>STAGE</t>
  </si>
  <si>
    <t>DATA_VALUE</t>
  </si>
  <si>
    <t>BUG_SIZE</t>
  </si>
  <si>
    <t>WHAT_WAS_IT</t>
  </si>
  <si>
    <t>Dalhousie_GSL</t>
  </si>
  <si>
    <t>Jul 3/17</t>
  </si>
  <si>
    <t>GSL_01</t>
  </si>
  <si>
    <t>Temora longicornis</t>
  </si>
  <si>
    <t>Metridia lucens</t>
  </si>
  <si>
    <t>Metridia longa</t>
  </si>
  <si>
    <t>Microcalanus sp</t>
  </si>
  <si>
    <t>Oithona similis</t>
  </si>
  <si>
    <t>Oithona atlantica</t>
  </si>
  <si>
    <t>Oithona sp</t>
  </si>
  <si>
    <t>Tortanus discaudatus</t>
  </si>
  <si>
    <t>Pseudocalanus sp</t>
  </si>
  <si>
    <t>Eurytemora herdmani</t>
  </si>
  <si>
    <t>egg</t>
  </si>
  <si>
    <t>Podon leukhartii</t>
  </si>
  <si>
    <t>Evadne nordmanni</t>
  </si>
  <si>
    <t>Metridia sp</t>
  </si>
  <si>
    <t>copepodite</t>
  </si>
  <si>
    <t>Calanus glacialis</t>
  </si>
  <si>
    <t>GSL_02</t>
  </si>
  <si>
    <t>Polychaeta</t>
  </si>
  <si>
    <t>larvae</t>
  </si>
  <si>
    <t>Microsetella norvegica</t>
  </si>
  <si>
    <t>Jul 4/17</t>
  </si>
  <si>
    <t>GSL_03</t>
  </si>
  <si>
    <t>V</t>
  </si>
  <si>
    <t>Eurytemora sp</t>
  </si>
  <si>
    <t>Aglantha digitale</t>
  </si>
  <si>
    <t>Triconia borealis</t>
  </si>
  <si>
    <t>Obelia sp</t>
  </si>
  <si>
    <t>Centropages hamatus</t>
  </si>
  <si>
    <t>Parasagitta sp</t>
  </si>
  <si>
    <t>Sagittidae</t>
  </si>
  <si>
    <t>Clupea harengus</t>
  </si>
  <si>
    <t>GSL_04</t>
  </si>
  <si>
    <t>cyprid</t>
  </si>
  <si>
    <t>fecal pellets</t>
  </si>
  <si>
    <t>Jul 5/17</t>
  </si>
  <si>
    <t>GSL_05</t>
  </si>
  <si>
    <t>Themisto sp</t>
  </si>
  <si>
    <t>Paraeuchaeta norvegica</t>
  </si>
  <si>
    <t>Chionectes opilio</t>
  </si>
  <si>
    <t>zoea</t>
  </si>
  <si>
    <t>Meganyctiphanes norvegica</t>
  </si>
  <si>
    <t>GSL_06</t>
  </si>
  <si>
    <t>Acartia sp</t>
  </si>
  <si>
    <t>Decapoda shrimp</t>
  </si>
  <si>
    <t>Jul 8/17</t>
  </si>
  <si>
    <t>GSL_07</t>
  </si>
  <si>
    <t>Ctenophora</t>
  </si>
  <si>
    <t>damaged</t>
  </si>
  <si>
    <t>GSL_09</t>
  </si>
  <si>
    <t>GSL_08</t>
  </si>
  <si>
    <t>Centropages sp</t>
  </si>
  <si>
    <t>Copepoda</t>
  </si>
  <si>
    <t>SPLIT_FRACTION</t>
  </si>
  <si>
    <t>MESO</t>
  </si>
  <si>
    <t>MACRO</t>
  </si>
  <si>
    <t>COUNT</t>
  </si>
  <si>
    <t>WEIGHT</t>
  </si>
  <si>
    <t>furcilia</t>
  </si>
  <si>
    <t>III</t>
  </si>
  <si>
    <t>Calanus finmarchicus</t>
  </si>
  <si>
    <t>Amphipoda</t>
  </si>
  <si>
    <t>Bivalve</t>
  </si>
  <si>
    <t>I</t>
  </si>
  <si>
    <t>II</t>
  </si>
  <si>
    <t>IV</t>
  </si>
  <si>
    <t>VI male</t>
  </si>
  <si>
    <t>VI female</t>
  </si>
  <si>
    <t>Calanus hyperboreus</t>
  </si>
  <si>
    <t xml:space="preserve">Calanus finmarchicus </t>
  </si>
  <si>
    <t xml:space="preserve">Calanus hyperboreus </t>
  </si>
  <si>
    <t>Cirripedia</t>
  </si>
  <si>
    <t>da/exoskeletons</t>
  </si>
  <si>
    <t>nauplii</t>
  </si>
  <si>
    <t>calyptopis</t>
  </si>
  <si>
    <t xml:space="preserve">Echinoderm </t>
  </si>
  <si>
    <t>Euphausiid</t>
  </si>
  <si>
    <t>Wet weight</t>
  </si>
  <si>
    <t>Total weight</t>
  </si>
  <si>
    <t>Dry weight</t>
  </si>
  <si>
    <t>MESO+MACRO</t>
  </si>
  <si>
    <t>N/A</t>
  </si>
  <si>
    <t>Ringnet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</si>
</sst>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2"/>
  <sheetViews>
    <sheetView tabSelected="1" workbookViewId="0">
      <pane ySplit="1" topLeftCell="A2" activePane="bottomLeft" state="frozen"/>
      <selection pane="bottomLeft" activeCell="R15" sqref="R15"/>
    </sheetView>
  </sheetViews>
  <sheetFormatPr baseColWidth="10" defaultColWidth="8.83203125" defaultRowHeight="15" x14ac:dyDescent="0.2"/>
  <cols>
    <col min="1" max="1" width="14.1640625" bestFit="1" customWidth="1"/>
    <col min="4" max="4" width="6.33203125" bestFit="1" customWidth="1"/>
    <col min="5" max="5" width="7.83203125" bestFit="1" customWidth="1"/>
    <col min="6" max="6" width="6.6640625" bestFit="1" customWidth="1"/>
    <col min="8" max="8" width="6.6640625" bestFit="1" customWidth="1"/>
    <col min="13" max="13" width="26.1640625" bestFit="1" customWidth="1"/>
    <col min="14" max="14" width="11.1640625" bestFit="1" customWidth="1"/>
    <col min="15" max="15" width="14.5" customWidth="1"/>
    <col min="16" max="16" width="14" customWidth="1"/>
    <col min="17" max="17" width="14.33203125" customWidth="1"/>
  </cols>
  <sheetData>
    <row r="1" spans="1:1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71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">
      <c r="A2" t="s">
        <v>16</v>
      </c>
      <c r="B2" t="s">
        <v>17</v>
      </c>
      <c r="C2" t="s">
        <v>18</v>
      </c>
      <c r="E2" t="s">
        <v>100</v>
      </c>
      <c r="G2">
        <v>207467</v>
      </c>
      <c r="I2">
        <v>1</v>
      </c>
      <c r="J2">
        <v>1</v>
      </c>
      <c r="K2">
        <v>0.02</v>
      </c>
      <c r="L2">
        <v>0.01</v>
      </c>
      <c r="M2" t="s">
        <v>79</v>
      </c>
      <c r="N2" t="s">
        <v>29</v>
      </c>
      <c r="O2">
        <v>1</v>
      </c>
      <c r="P2" t="s">
        <v>72</v>
      </c>
      <c r="Q2" t="s">
        <v>74</v>
      </c>
    </row>
    <row r="3" spans="1:17" x14ac:dyDescent="0.2">
      <c r="A3" t="s">
        <v>16</v>
      </c>
      <c r="B3" t="s">
        <v>17</v>
      </c>
      <c r="C3" t="s">
        <v>18</v>
      </c>
      <c r="E3" t="s">
        <v>100</v>
      </c>
      <c r="G3">
        <v>207467</v>
      </c>
      <c r="I3">
        <v>1</v>
      </c>
      <c r="J3">
        <v>1</v>
      </c>
      <c r="K3">
        <v>0.02</v>
      </c>
      <c r="L3">
        <v>0.01</v>
      </c>
      <c r="M3" t="s">
        <v>80</v>
      </c>
      <c r="N3" t="s">
        <v>37</v>
      </c>
      <c r="O3">
        <v>7</v>
      </c>
      <c r="P3" t="s">
        <v>72</v>
      </c>
      <c r="Q3" t="s">
        <v>74</v>
      </c>
    </row>
    <row r="4" spans="1:17" x14ac:dyDescent="0.2">
      <c r="A4" t="s">
        <v>16</v>
      </c>
      <c r="B4" t="s">
        <v>17</v>
      </c>
      <c r="C4" t="s">
        <v>18</v>
      </c>
      <c r="E4" t="s">
        <v>100</v>
      </c>
      <c r="G4">
        <v>207467</v>
      </c>
      <c r="I4">
        <v>2</v>
      </c>
      <c r="J4">
        <v>1</v>
      </c>
      <c r="K4">
        <v>2.6666666666666668E-2</v>
      </c>
      <c r="L4">
        <v>1.3333333333333334E-2</v>
      </c>
      <c r="M4" t="s">
        <v>78</v>
      </c>
      <c r="N4" t="s">
        <v>81</v>
      </c>
      <c r="O4">
        <v>2</v>
      </c>
      <c r="P4" t="s">
        <v>72</v>
      </c>
      <c r="Q4" t="s">
        <v>74</v>
      </c>
    </row>
    <row r="5" spans="1:17" x14ac:dyDescent="0.2">
      <c r="A5" t="s">
        <v>16</v>
      </c>
      <c r="B5" t="s">
        <v>17</v>
      </c>
      <c r="C5" t="s">
        <v>18</v>
      </c>
      <c r="E5" t="s">
        <v>100</v>
      </c>
      <c r="G5">
        <v>207467</v>
      </c>
      <c r="I5">
        <v>2</v>
      </c>
      <c r="J5">
        <v>1</v>
      </c>
      <c r="K5">
        <v>2.6666666666666668E-2</v>
      </c>
      <c r="L5">
        <v>1.3333333333333334E-2</v>
      </c>
      <c r="M5" t="s">
        <v>78</v>
      </c>
      <c r="N5" s="2" t="s">
        <v>82</v>
      </c>
      <c r="O5">
        <v>3</v>
      </c>
      <c r="P5" t="s">
        <v>72</v>
      </c>
      <c r="Q5" t="s">
        <v>74</v>
      </c>
    </row>
    <row r="6" spans="1:17" x14ac:dyDescent="0.2">
      <c r="A6" t="s">
        <v>16</v>
      </c>
      <c r="B6" t="s">
        <v>17</v>
      </c>
      <c r="C6" t="s">
        <v>18</v>
      </c>
      <c r="E6" t="s">
        <v>100</v>
      </c>
      <c r="G6">
        <v>207467</v>
      </c>
      <c r="I6">
        <v>2</v>
      </c>
      <c r="J6">
        <v>1</v>
      </c>
      <c r="K6">
        <v>2.6666666666666668E-2</v>
      </c>
      <c r="L6">
        <v>1.3333333333333334E-2</v>
      </c>
      <c r="M6" t="s">
        <v>78</v>
      </c>
      <c r="N6" s="2" t="s">
        <v>77</v>
      </c>
      <c r="O6">
        <v>7</v>
      </c>
      <c r="P6" t="s">
        <v>72</v>
      </c>
      <c r="Q6" t="s">
        <v>74</v>
      </c>
    </row>
    <row r="7" spans="1:17" x14ac:dyDescent="0.2">
      <c r="A7" t="s">
        <v>16</v>
      </c>
      <c r="B7" t="s">
        <v>17</v>
      </c>
      <c r="C7" t="s">
        <v>18</v>
      </c>
      <c r="E7" t="s">
        <v>100</v>
      </c>
      <c r="G7">
        <v>207467</v>
      </c>
      <c r="I7">
        <v>2</v>
      </c>
      <c r="J7">
        <v>1</v>
      </c>
      <c r="K7">
        <v>2.6666666666666668E-2</v>
      </c>
      <c r="L7">
        <v>1.3333333333333334E-2</v>
      </c>
      <c r="M7" t="s">
        <v>78</v>
      </c>
      <c r="N7" s="2" t="s">
        <v>83</v>
      </c>
      <c r="O7">
        <v>55</v>
      </c>
      <c r="P7" t="s">
        <v>72</v>
      </c>
      <c r="Q7" t="s">
        <v>74</v>
      </c>
    </row>
    <row r="8" spans="1:17" x14ac:dyDescent="0.2">
      <c r="A8" t="s">
        <v>16</v>
      </c>
      <c r="B8" t="s">
        <v>17</v>
      </c>
      <c r="C8" t="s">
        <v>18</v>
      </c>
      <c r="E8" t="s">
        <v>100</v>
      </c>
      <c r="G8">
        <v>207467</v>
      </c>
      <c r="I8">
        <v>2</v>
      </c>
      <c r="J8">
        <v>1</v>
      </c>
      <c r="K8">
        <v>2.6666666666666668E-2</v>
      </c>
      <c r="L8">
        <v>1.3333333333333334E-2</v>
      </c>
      <c r="M8" t="s">
        <v>78</v>
      </c>
      <c r="N8" s="2" t="s">
        <v>41</v>
      </c>
      <c r="O8">
        <v>49</v>
      </c>
      <c r="P8" t="s">
        <v>72</v>
      </c>
      <c r="Q8" t="s">
        <v>74</v>
      </c>
    </row>
    <row r="9" spans="1:17" x14ac:dyDescent="0.2">
      <c r="A9" t="s">
        <v>16</v>
      </c>
      <c r="B9" t="s">
        <v>17</v>
      </c>
      <c r="C9" t="s">
        <v>18</v>
      </c>
      <c r="E9" t="s">
        <v>100</v>
      </c>
      <c r="G9">
        <v>207467</v>
      </c>
      <c r="I9">
        <v>2</v>
      </c>
      <c r="J9">
        <v>1</v>
      </c>
      <c r="K9">
        <v>2.6666666666666668E-2</v>
      </c>
      <c r="L9">
        <v>1.3333333333333334E-2</v>
      </c>
      <c r="M9" t="s">
        <v>86</v>
      </c>
      <c r="N9" s="2" t="s">
        <v>77</v>
      </c>
      <c r="O9">
        <v>1</v>
      </c>
      <c r="P9" t="s">
        <v>72</v>
      </c>
      <c r="Q9" t="s">
        <v>74</v>
      </c>
    </row>
    <row r="10" spans="1:17" x14ac:dyDescent="0.2">
      <c r="A10" t="s">
        <v>16</v>
      </c>
      <c r="B10" t="s">
        <v>17</v>
      </c>
      <c r="C10" t="s">
        <v>18</v>
      </c>
      <c r="E10" t="s">
        <v>100</v>
      </c>
      <c r="G10">
        <v>207467</v>
      </c>
      <c r="I10">
        <v>2</v>
      </c>
      <c r="J10">
        <v>1</v>
      </c>
      <c r="K10">
        <v>2.6666666666666668E-2</v>
      </c>
      <c r="L10">
        <v>1.3333333333333334E-2</v>
      </c>
      <c r="M10" t="s">
        <v>86</v>
      </c>
      <c r="N10" s="2" t="s">
        <v>83</v>
      </c>
      <c r="O10">
        <v>7</v>
      </c>
      <c r="P10" t="s">
        <v>72</v>
      </c>
      <c r="Q10" t="s">
        <v>74</v>
      </c>
    </row>
    <row r="11" spans="1:17" x14ac:dyDescent="0.2">
      <c r="A11" t="s">
        <v>16</v>
      </c>
      <c r="B11" t="s">
        <v>17</v>
      </c>
      <c r="C11" t="s">
        <v>18</v>
      </c>
      <c r="E11" t="s">
        <v>100</v>
      </c>
      <c r="G11">
        <v>207467</v>
      </c>
      <c r="I11">
        <v>2</v>
      </c>
      <c r="J11">
        <v>1</v>
      </c>
      <c r="K11">
        <v>2.6666666666666668E-2</v>
      </c>
      <c r="L11">
        <v>1.3333333333333334E-2</v>
      </c>
      <c r="M11" t="s">
        <v>86</v>
      </c>
      <c r="N11" s="2" t="s">
        <v>41</v>
      </c>
      <c r="O11">
        <v>1</v>
      </c>
      <c r="P11" t="s">
        <v>72</v>
      </c>
      <c r="Q11" t="s">
        <v>74</v>
      </c>
    </row>
    <row r="12" spans="1:17" x14ac:dyDescent="0.2">
      <c r="A12" t="s">
        <v>16</v>
      </c>
      <c r="B12" t="s">
        <v>17</v>
      </c>
      <c r="C12" t="s">
        <v>18</v>
      </c>
      <c r="E12" t="s">
        <v>100</v>
      </c>
      <c r="G12">
        <v>207467</v>
      </c>
      <c r="I12">
        <v>2</v>
      </c>
      <c r="J12">
        <v>1</v>
      </c>
      <c r="K12">
        <v>2.6666666666666668E-2</v>
      </c>
      <c r="L12">
        <v>1.3333333333333334E-2</v>
      </c>
      <c r="M12" t="s">
        <v>34</v>
      </c>
      <c r="N12" t="s">
        <v>41</v>
      </c>
      <c r="O12">
        <v>1</v>
      </c>
      <c r="P12" t="s">
        <v>72</v>
      </c>
      <c r="Q12" t="s">
        <v>74</v>
      </c>
    </row>
    <row r="13" spans="1:17" x14ac:dyDescent="0.2">
      <c r="A13" t="s">
        <v>16</v>
      </c>
      <c r="B13" t="s">
        <v>17</v>
      </c>
      <c r="C13" t="s">
        <v>18</v>
      </c>
      <c r="E13" t="s">
        <v>100</v>
      </c>
      <c r="G13">
        <v>207467</v>
      </c>
      <c r="I13">
        <v>1</v>
      </c>
      <c r="J13">
        <v>1</v>
      </c>
      <c r="K13">
        <v>0.02</v>
      </c>
      <c r="L13">
        <v>0.01</v>
      </c>
      <c r="M13" t="s">
        <v>69</v>
      </c>
      <c r="N13" t="s">
        <v>33</v>
      </c>
      <c r="O13">
        <v>1</v>
      </c>
      <c r="P13" t="s">
        <v>72</v>
      </c>
      <c r="Q13" t="s">
        <v>74</v>
      </c>
    </row>
    <row r="14" spans="1:17" x14ac:dyDescent="0.2">
      <c r="A14" t="s">
        <v>16</v>
      </c>
      <c r="B14" t="s">
        <v>17</v>
      </c>
      <c r="C14" t="s">
        <v>18</v>
      </c>
      <c r="E14" t="s">
        <v>100</v>
      </c>
      <c r="G14">
        <v>207467</v>
      </c>
      <c r="I14">
        <v>1</v>
      </c>
      <c r="J14">
        <v>1</v>
      </c>
      <c r="K14">
        <v>0.02</v>
      </c>
      <c r="L14">
        <v>0.01</v>
      </c>
      <c r="M14" t="s">
        <v>70</v>
      </c>
      <c r="N14" t="s">
        <v>90</v>
      </c>
      <c r="O14">
        <v>38</v>
      </c>
      <c r="P14" t="s">
        <v>72</v>
      </c>
      <c r="Q14" t="s">
        <v>74</v>
      </c>
    </row>
    <row r="15" spans="1:17" x14ac:dyDescent="0.2">
      <c r="A15" t="s">
        <v>16</v>
      </c>
      <c r="B15" t="s">
        <v>17</v>
      </c>
      <c r="C15" t="s">
        <v>18</v>
      </c>
      <c r="E15" t="s">
        <v>100</v>
      </c>
      <c r="G15">
        <v>207467</v>
      </c>
      <c r="I15">
        <v>1</v>
      </c>
      <c r="J15">
        <v>1</v>
      </c>
      <c r="K15">
        <v>0.02</v>
      </c>
      <c r="L15">
        <v>0.01</v>
      </c>
      <c r="M15" t="s">
        <v>70</v>
      </c>
      <c r="N15" t="s">
        <v>33</v>
      </c>
      <c r="O15">
        <v>2</v>
      </c>
      <c r="P15" t="s">
        <v>72</v>
      </c>
      <c r="Q15" t="s">
        <v>74</v>
      </c>
    </row>
    <row r="16" spans="1:17" x14ac:dyDescent="0.2">
      <c r="A16" t="s">
        <v>16</v>
      </c>
      <c r="B16" t="s">
        <v>17</v>
      </c>
      <c r="C16" t="s">
        <v>18</v>
      </c>
      <c r="E16" t="s">
        <v>100</v>
      </c>
      <c r="G16">
        <v>207467</v>
      </c>
      <c r="I16">
        <v>1</v>
      </c>
      <c r="J16">
        <v>1</v>
      </c>
      <c r="K16">
        <v>0.02</v>
      </c>
      <c r="L16">
        <v>0.01</v>
      </c>
      <c r="M16" t="s">
        <v>94</v>
      </c>
      <c r="N16" t="s">
        <v>92</v>
      </c>
      <c r="O16">
        <v>2</v>
      </c>
      <c r="P16" t="s">
        <v>72</v>
      </c>
      <c r="Q16" t="s">
        <v>74</v>
      </c>
    </row>
    <row r="17" spans="1:17" x14ac:dyDescent="0.2">
      <c r="A17" t="s">
        <v>16</v>
      </c>
      <c r="B17" t="s">
        <v>17</v>
      </c>
      <c r="C17" t="s">
        <v>18</v>
      </c>
      <c r="E17" t="s">
        <v>100</v>
      </c>
      <c r="G17">
        <v>207467</v>
      </c>
      <c r="I17">
        <v>1</v>
      </c>
      <c r="J17">
        <v>1</v>
      </c>
      <c r="K17">
        <v>0.02</v>
      </c>
      <c r="L17">
        <v>0.01</v>
      </c>
      <c r="M17" t="s">
        <v>94</v>
      </c>
      <c r="N17" t="s">
        <v>76</v>
      </c>
      <c r="O17">
        <v>26</v>
      </c>
      <c r="P17" t="s">
        <v>72</v>
      </c>
      <c r="Q17" t="s">
        <v>74</v>
      </c>
    </row>
    <row r="18" spans="1:17" x14ac:dyDescent="0.2">
      <c r="A18" t="s">
        <v>16</v>
      </c>
      <c r="B18" t="s">
        <v>17</v>
      </c>
      <c r="C18" t="s">
        <v>18</v>
      </c>
      <c r="E18" t="s">
        <v>100</v>
      </c>
      <c r="G18">
        <v>207467</v>
      </c>
      <c r="I18">
        <v>1</v>
      </c>
      <c r="J18">
        <v>1</v>
      </c>
      <c r="K18">
        <v>0.02</v>
      </c>
      <c r="L18">
        <v>0.01</v>
      </c>
      <c r="M18" t="s">
        <v>28</v>
      </c>
      <c r="O18">
        <v>2</v>
      </c>
      <c r="P18" t="s">
        <v>72</v>
      </c>
      <c r="Q18" t="s">
        <v>74</v>
      </c>
    </row>
    <row r="19" spans="1:17" x14ac:dyDescent="0.2">
      <c r="A19" t="s">
        <v>16</v>
      </c>
      <c r="B19" t="s">
        <v>17</v>
      </c>
      <c r="C19" t="s">
        <v>18</v>
      </c>
      <c r="E19" t="s">
        <v>100</v>
      </c>
      <c r="G19">
        <v>207467</v>
      </c>
      <c r="I19">
        <v>1</v>
      </c>
      <c r="J19">
        <v>1</v>
      </c>
      <c r="K19">
        <v>0.02</v>
      </c>
      <c r="L19">
        <v>0.01</v>
      </c>
      <c r="M19" t="s">
        <v>31</v>
      </c>
      <c r="O19">
        <v>1</v>
      </c>
      <c r="P19" t="s">
        <v>72</v>
      </c>
      <c r="Q19" t="s">
        <v>74</v>
      </c>
    </row>
    <row r="20" spans="1:17" x14ac:dyDescent="0.2">
      <c r="A20" t="s">
        <v>16</v>
      </c>
      <c r="B20" t="s">
        <v>17</v>
      </c>
      <c r="C20" t="s">
        <v>18</v>
      </c>
      <c r="E20" t="s">
        <v>100</v>
      </c>
      <c r="G20">
        <v>207467</v>
      </c>
      <c r="I20">
        <v>1</v>
      </c>
      <c r="J20">
        <v>1</v>
      </c>
      <c r="K20">
        <v>0.02</v>
      </c>
      <c r="L20">
        <v>0.01</v>
      </c>
      <c r="M20" t="s">
        <v>32</v>
      </c>
      <c r="N20" t="s">
        <v>33</v>
      </c>
      <c r="O20">
        <v>1</v>
      </c>
      <c r="P20" t="s">
        <v>72</v>
      </c>
      <c r="Q20" t="s">
        <v>74</v>
      </c>
    </row>
    <row r="21" spans="1:17" x14ac:dyDescent="0.2">
      <c r="A21" t="s">
        <v>16</v>
      </c>
      <c r="B21" t="s">
        <v>17</v>
      </c>
      <c r="C21" t="s">
        <v>18</v>
      </c>
      <c r="E21" t="s">
        <v>100</v>
      </c>
      <c r="G21">
        <v>207467</v>
      </c>
      <c r="I21">
        <v>1</v>
      </c>
      <c r="J21">
        <v>1</v>
      </c>
      <c r="K21">
        <v>0.02</v>
      </c>
      <c r="L21">
        <v>0.01</v>
      </c>
      <c r="M21" t="s">
        <v>24</v>
      </c>
      <c r="O21">
        <v>2</v>
      </c>
      <c r="P21" t="s">
        <v>72</v>
      </c>
      <c r="Q21" t="s">
        <v>74</v>
      </c>
    </row>
    <row r="22" spans="1:17" x14ac:dyDescent="0.2">
      <c r="A22" t="s">
        <v>16</v>
      </c>
      <c r="B22" t="s">
        <v>17</v>
      </c>
      <c r="C22" t="s">
        <v>18</v>
      </c>
      <c r="E22" t="s">
        <v>100</v>
      </c>
      <c r="G22">
        <v>207467</v>
      </c>
      <c r="I22">
        <v>1</v>
      </c>
      <c r="J22">
        <v>1</v>
      </c>
      <c r="K22">
        <v>0.02</v>
      </c>
      <c r="L22">
        <v>0.01</v>
      </c>
      <c r="M22" t="s">
        <v>23</v>
      </c>
      <c r="O22">
        <v>33</v>
      </c>
      <c r="P22" t="s">
        <v>72</v>
      </c>
      <c r="Q22" t="s">
        <v>74</v>
      </c>
    </row>
    <row r="23" spans="1:17" x14ac:dyDescent="0.2">
      <c r="A23" t="s">
        <v>16</v>
      </c>
      <c r="B23" t="s">
        <v>17</v>
      </c>
      <c r="C23" t="s">
        <v>18</v>
      </c>
      <c r="E23" t="s">
        <v>100</v>
      </c>
      <c r="G23">
        <v>207467</v>
      </c>
      <c r="I23">
        <v>1</v>
      </c>
      <c r="J23">
        <v>1</v>
      </c>
      <c r="K23">
        <v>0.02</v>
      </c>
      <c r="L23">
        <v>0.01</v>
      </c>
      <c r="M23" t="s">
        <v>25</v>
      </c>
      <c r="O23">
        <v>1</v>
      </c>
      <c r="P23" t="s">
        <v>72</v>
      </c>
      <c r="Q23" t="s">
        <v>74</v>
      </c>
    </row>
    <row r="24" spans="1:17" x14ac:dyDescent="0.2">
      <c r="A24" t="s">
        <v>16</v>
      </c>
      <c r="B24" t="s">
        <v>17</v>
      </c>
      <c r="C24" t="s">
        <v>18</v>
      </c>
      <c r="E24" t="s">
        <v>100</v>
      </c>
      <c r="G24">
        <v>207467</v>
      </c>
      <c r="I24">
        <v>1</v>
      </c>
      <c r="J24">
        <v>1</v>
      </c>
      <c r="K24">
        <v>0.02</v>
      </c>
      <c r="L24">
        <v>0.01</v>
      </c>
      <c r="M24" t="s">
        <v>30</v>
      </c>
      <c r="O24">
        <v>1</v>
      </c>
      <c r="P24" t="s">
        <v>72</v>
      </c>
      <c r="Q24" t="s">
        <v>74</v>
      </c>
    </row>
    <row r="25" spans="1:17" x14ac:dyDescent="0.2">
      <c r="A25" t="s">
        <v>16</v>
      </c>
      <c r="B25" t="s">
        <v>17</v>
      </c>
      <c r="C25" t="s">
        <v>18</v>
      </c>
      <c r="E25" t="s">
        <v>100</v>
      </c>
      <c r="G25">
        <v>207467</v>
      </c>
      <c r="I25">
        <v>1</v>
      </c>
      <c r="J25">
        <v>1</v>
      </c>
      <c r="K25">
        <v>0.02</v>
      </c>
      <c r="L25">
        <v>0.01</v>
      </c>
      <c r="M25" t="s">
        <v>27</v>
      </c>
      <c r="O25">
        <v>9</v>
      </c>
      <c r="P25" t="s">
        <v>72</v>
      </c>
      <c r="Q25" t="s">
        <v>74</v>
      </c>
    </row>
    <row r="26" spans="1:17" x14ac:dyDescent="0.2">
      <c r="A26" t="s">
        <v>16</v>
      </c>
      <c r="B26" t="s">
        <v>17</v>
      </c>
      <c r="C26" t="s">
        <v>18</v>
      </c>
      <c r="E26" t="s">
        <v>100</v>
      </c>
      <c r="G26">
        <v>207467</v>
      </c>
      <c r="I26">
        <v>1</v>
      </c>
      <c r="J26">
        <v>1</v>
      </c>
      <c r="K26">
        <v>0.02</v>
      </c>
      <c r="L26">
        <v>0.01</v>
      </c>
      <c r="M26" t="s">
        <v>19</v>
      </c>
      <c r="O26">
        <v>17</v>
      </c>
      <c r="P26" t="s">
        <v>72</v>
      </c>
      <c r="Q26" t="s">
        <v>74</v>
      </c>
    </row>
    <row r="27" spans="1:17" x14ac:dyDescent="0.2">
      <c r="A27" t="s">
        <v>16</v>
      </c>
      <c r="B27" t="s">
        <v>17</v>
      </c>
      <c r="C27" t="s">
        <v>18</v>
      </c>
      <c r="E27" t="s">
        <v>100</v>
      </c>
      <c r="G27">
        <v>207467</v>
      </c>
      <c r="I27">
        <v>1</v>
      </c>
      <c r="J27">
        <v>1</v>
      </c>
      <c r="K27">
        <v>0.02</v>
      </c>
      <c r="L27">
        <v>0.01</v>
      </c>
      <c r="M27" t="s">
        <v>26</v>
      </c>
      <c r="O27">
        <v>3</v>
      </c>
      <c r="P27" t="s">
        <v>72</v>
      </c>
      <c r="Q27" t="s">
        <v>74</v>
      </c>
    </row>
    <row r="28" spans="1:17" x14ac:dyDescent="0.2">
      <c r="A28" t="s">
        <v>16</v>
      </c>
      <c r="B28" t="s">
        <v>17</v>
      </c>
      <c r="C28" t="s">
        <v>18</v>
      </c>
      <c r="E28" t="s">
        <v>100</v>
      </c>
      <c r="G28">
        <v>207467</v>
      </c>
      <c r="I28">
        <v>1</v>
      </c>
      <c r="J28">
        <v>0</v>
      </c>
      <c r="K28">
        <v>1</v>
      </c>
      <c r="L28">
        <v>1</v>
      </c>
      <c r="M28" t="s">
        <v>95</v>
      </c>
      <c r="O28">
        <f>5.8652-0.2122</f>
        <v>5.6529999999999996</v>
      </c>
      <c r="P28" t="s">
        <v>72</v>
      </c>
      <c r="Q28" t="s">
        <v>75</v>
      </c>
    </row>
    <row r="29" spans="1:17" x14ac:dyDescent="0.2">
      <c r="A29" t="s">
        <v>16</v>
      </c>
      <c r="B29" t="s">
        <v>17</v>
      </c>
      <c r="C29" t="s">
        <v>18</v>
      </c>
      <c r="E29" t="s">
        <v>100</v>
      </c>
      <c r="G29">
        <v>207467</v>
      </c>
      <c r="I29">
        <v>1</v>
      </c>
      <c r="J29">
        <v>0</v>
      </c>
      <c r="K29">
        <v>1</v>
      </c>
      <c r="L29">
        <v>1</v>
      </c>
      <c r="M29" t="s">
        <v>96</v>
      </c>
      <c r="O29">
        <v>5.6553000000000004</v>
      </c>
      <c r="P29" t="s">
        <v>98</v>
      </c>
      <c r="Q29" t="s">
        <v>75</v>
      </c>
    </row>
    <row r="30" spans="1:17" x14ac:dyDescent="0.2">
      <c r="A30" t="s">
        <v>16</v>
      </c>
      <c r="B30" t="s">
        <v>17</v>
      </c>
      <c r="C30" t="s">
        <v>18</v>
      </c>
      <c r="E30" t="s">
        <v>100</v>
      </c>
      <c r="G30">
        <v>207467</v>
      </c>
      <c r="I30">
        <v>1</v>
      </c>
      <c r="J30">
        <v>1</v>
      </c>
      <c r="K30">
        <v>1</v>
      </c>
      <c r="L30">
        <v>0.5</v>
      </c>
      <c r="M30" t="s">
        <v>97</v>
      </c>
      <c r="O30">
        <f>0.4776-0.096</f>
        <v>0.38160000000000005</v>
      </c>
      <c r="P30" t="s">
        <v>72</v>
      </c>
      <c r="Q30" t="s">
        <v>75</v>
      </c>
    </row>
    <row r="31" spans="1:17" x14ac:dyDescent="0.2">
      <c r="A31" t="s">
        <v>16</v>
      </c>
      <c r="B31" t="s">
        <v>17</v>
      </c>
      <c r="C31" t="s">
        <v>35</v>
      </c>
      <c r="E31" t="s">
        <v>100</v>
      </c>
      <c r="G31">
        <v>207431</v>
      </c>
      <c r="I31">
        <v>1</v>
      </c>
      <c r="J31">
        <v>0</v>
      </c>
      <c r="K31">
        <v>1</v>
      </c>
      <c r="L31">
        <v>1</v>
      </c>
      <c r="M31" t="s">
        <v>79</v>
      </c>
      <c r="N31" t="s">
        <v>29</v>
      </c>
      <c r="O31">
        <v>1</v>
      </c>
      <c r="P31" t="s">
        <v>72</v>
      </c>
      <c r="Q31" t="s">
        <v>74</v>
      </c>
    </row>
    <row r="32" spans="1:17" x14ac:dyDescent="0.2">
      <c r="A32" t="s">
        <v>16</v>
      </c>
      <c r="B32" t="s">
        <v>17</v>
      </c>
      <c r="C32" t="s">
        <v>35</v>
      </c>
      <c r="E32" t="s">
        <v>100</v>
      </c>
      <c r="G32">
        <v>207431</v>
      </c>
      <c r="I32">
        <v>1</v>
      </c>
      <c r="J32">
        <v>0</v>
      </c>
      <c r="K32">
        <v>1</v>
      </c>
      <c r="L32">
        <v>1</v>
      </c>
      <c r="M32" t="s">
        <v>80</v>
      </c>
      <c r="N32" t="s">
        <v>37</v>
      </c>
      <c r="O32">
        <v>4</v>
      </c>
      <c r="P32" t="s">
        <v>72</v>
      </c>
      <c r="Q32" t="s">
        <v>74</v>
      </c>
    </row>
    <row r="33" spans="1:17" x14ac:dyDescent="0.2">
      <c r="A33" t="s">
        <v>16</v>
      </c>
      <c r="B33" t="s">
        <v>17</v>
      </c>
      <c r="C33" t="s">
        <v>35</v>
      </c>
      <c r="E33" t="s">
        <v>100</v>
      </c>
      <c r="G33">
        <v>207431</v>
      </c>
      <c r="I33">
        <v>1</v>
      </c>
      <c r="J33">
        <v>0</v>
      </c>
      <c r="K33">
        <v>1</v>
      </c>
      <c r="L33">
        <v>1</v>
      </c>
      <c r="M33" t="s">
        <v>78</v>
      </c>
      <c r="N33" s="2" t="s">
        <v>77</v>
      </c>
      <c r="O33">
        <v>1</v>
      </c>
      <c r="P33" t="s">
        <v>72</v>
      </c>
      <c r="Q33" t="s">
        <v>74</v>
      </c>
    </row>
    <row r="34" spans="1:17" x14ac:dyDescent="0.2">
      <c r="A34" t="s">
        <v>16</v>
      </c>
      <c r="B34" t="s">
        <v>17</v>
      </c>
      <c r="C34" t="s">
        <v>35</v>
      </c>
      <c r="E34" t="s">
        <v>100</v>
      </c>
      <c r="G34">
        <v>207431</v>
      </c>
      <c r="I34">
        <v>1</v>
      </c>
      <c r="J34">
        <v>0</v>
      </c>
      <c r="K34">
        <v>1</v>
      </c>
      <c r="L34">
        <v>1</v>
      </c>
      <c r="M34" t="s">
        <v>78</v>
      </c>
      <c r="N34" t="s">
        <v>41</v>
      </c>
      <c r="O34">
        <v>1</v>
      </c>
      <c r="P34" t="s">
        <v>72</v>
      </c>
      <c r="Q34" t="s">
        <v>74</v>
      </c>
    </row>
    <row r="35" spans="1:17" x14ac:dyDescent="0.2">
      <c r="A35" t="s">
        <v>16</v>
      </c>
      <c r="B35" t="s">
        <v>17</v>
      </c>
      <c r="C35" t="s">
        <v>35</v>
      </c>
      <c r="E35" t="s">
        <v>100</v>
      </c>
      <c r="G35">
        <v>207431</v>
      </c>
      <c r="I35">
        <v>1</v>
      </c>
      <c r="J35">
        <v>0</v>
      </c>
      <c r="K35">
        <v>1</v>
      </c>
      <c r="L35">
        <v>1</v>
      </c>
      <c r="M35" t="s">
        <v>69</v>
      </c>
      <c r="N35" t="s">
        <v>33</v>
      </c>
      <c r="O35">
        <v>1</v>
      </c>
      <c r="P35" t="s">
        <v>72</v>
      </c>
      <c r="Q35" t="s">
        <v>74</v>
      </c>
    </row>
    <row r="36" spans="1:17" x14ac:dyDescent="0.2">
      <c r="A36" t="s">
        <v>16</v>
      </c>
      <c r="B36" t="s">
        <v>17</v>
      </c>
      <c r="C36" t="s">
        <v>35</v>
      </c>
      <c r="E36" t="s">
        <v>100</v>
      </c>
      <c r="G36">
        <v>207431</v>
      </c>
      <c r="I36">
        <v>1</v>
      </c>
      <c r="J36">
        <v>0</v>
      </c>
      <c r="K36">
        <v>1</v>
      </c>
      <c r="L36">
        <v>1</v>
      </c>
      <c r="M36" t="s">
        <v>70</v>
      </c>
      <c r="N36" t="s">
        <v>90</v>
      </c>
      <c r="O36">
        <v>16</v>
      </c>
      <c r="P36" t="s">
        <v>72</v>
      </c>
      <c r="Q36" t="s">
        <v>74</v>
      </c>
    </row>
    <row r="37" spans="1:17" x14ac:dyDescent="0.2">
      <c r="A37" t="s">
        <v>16</v>
      </c>
      <c r="B37" t="s">
        <v>17</v>
      </c>
      <c r="C37" t="s">
        <v>35</v>
      </c>
      <c r="E37" t="s">
        <v>100</v>
      </c>
      <c r="G37">
        <v>207431</v>
      </c>
      <c r="I37">
        <v>1</v>
      </c>
      <c r="J37">
        <v>0</v>
      </c>
      <c r="K37">
        <v>1</v>
      </c>
      <c r="L37">
        <v>1</v>
      </c>
      <c r="M37" t="s">
        <v>70</v>
      </c>
      <c r="N37" t="s">
        <v>91</v>
      </c>
      <c r="O37">
        <v>2</v>
      </c>
      <c r="P37" t="s">
        <v>72</v>
      </c>
      <c r="Q37" t="s">
        <v>74</v>
      </c>
    </row>
    <row r="38" spans="1:17" x14ac:dyDescent="0.2">
      <c r="A38" t="s">
        <v>16</v>
      </c>
      <c r="B38" t="s">
        <v>17</v>
      </c>
      <c r="C38" t="s">
        <v>35</v>
      </c>
      <c r="E38" t="s">
        <v>100</v>
      </c>
      <c r="G38">
        <v>207431</v>
      </c>
      <c r="I38">
        <v>1</v>
      </c>
      <c r="J38">
        <v>0</v>
      </c>
      <c r="K38">
        <v>1</v>
      </c>
      <c r="L38">
        <v>1</v>
      </c>
      <c r="M38" t="s">
        <v>70</v>
      </c>
      <c r="N38" t="s">
        <v>33</v>
      </c>
      <c r="O38">
        <v>1</v>
      </c>
      <c r="P38" t="s">
        <v>72</v>
      </c>
      <c r="Q38" t="s">
        <v>74</v>
      </c>
    </row>
    <row r="39" spans="1:17" x14ac:dyDescent="0.2">
      <c r="A39" t="s">
        <v>16</v>
      </c>
      <c r="B39" t="s">
        <v>17</v>
      </c>
      <c r="C39" t="s">
        <v>35</v>
      </c>
      <c r="E39" t="s">
        <v>100</v>
      </c>
      <c r="G39">
        <v>207431</v>
      </c>
      <c r="I39">
        <v>1</v>
      </c>
      <c r="J39">
        <v>0</v>
      </c>
      <c r="K39">
        <v>1</v>
      </c>
      <c r="L39">
        <v>1</v>
      </c>
      <c r="M39" t="s">
        <v>94</v>
      </c>
      <c r="N39" t="s">
        <v>76</v>
      </c>
      <c r="O39">
        <v>3</v>
      </c>
      <c r="P39" t="s">
        <v>72</v>
      </c>
      <c r="Q39" t="s">
        <v>74</v>
      </c>
    </row>
    <row r="40" spans="1:17" x14ac:dyDescent="0.2">
      <c r="A40" t="s">
        <v>16</v>
      </c>
      <c r="B40" t="s">
        <v>17</v>
      </c>
      <c r="C40" t="s">
        <v>35</v>
      </c>
      <c r="E40" t="s">
        <v>100</v>
      </c>
      <c r="G40">
        <v>207431</v>
      </c>
      <c r="I40">
        <v>1</v>
      </c>
      <c r="J40">
        <v>0</v>
      </c>
      <c r="K40">
        <v>1</v>
      </c>
      <c r="L40">
        <v>1</v>
      </c>
      <c r="M40" t="s">
        <v>28</v>
      </c>
      <c r="O40">
        <v>1</v>
      </c>
      <c r="P40" t="s">
        <v>72</v>
      </c>
      <c r="Q40" t="s">
        <v>74</v>
      </c>
    </row>
    <row r="41" spans="1:17" x14ac:dyDescent="0.2">
      <c r="A41" t="s">
        <v>16</v>
      </c>
      <c r="B41" t="s">
        <v>17</v>
      </c>
      <c r="C41" t="s">
        <v>35</v>
      </c>
      <c r="E41" t="s">
        <v>100</v>
      </c>
      <c r="G41">
        <v>207431</v>
      </c>
      <c r="I41">
        <v>1</v>
      </c>
      <c r="J41">
        <v>0</v>
      </c>
      <c r="K41">
        <v>1</v>
      </c>
      <c r="L41">
        <v>1</v>
      </c>
      <c r="M41" t="s">
        <v>31</v>
      </c>
      <c r="O41">
        <v>5</v>
      </c>
      <c r="P41" t="s">
        <v>72</v>
      </c>
      <c r="Q41" t="s">
        <v>74</v>
      </c>
    </row>
    <row r="42" spans="1:17" x14ac:dyDescent="0.2">
      <c r="A42" t="s">
        <v>16</v>
      </c>
      <c r="B42" t="s">
        <v>17</v>
      </c>
      <c r="C42" t="s">
        <v>35</v>
      </c>
      <c r="E42" t="s">
        <v>100</v>
      </c>
      <c r="G42">
        <v>207431</v>
      </c>
      <c r="I42">
        <v>1</v>
      </c>
      <c r="J42">
        <v>0</v>
      </c>
      <c r="K42">
        <v>1</v>
      </c>
      <c r="L42">
        <v>1</v>
      </c>
      <c r="M42" t="s">
        <v>38</v>
      </c>
      <c r="O42">
        <v>3</v>
      </c>
      <c r="P42" t="s">
        <v>72</v>
      </c>
      <c r="Q42" t="s">
        <v>74</v>
      </c>
    </row>
    <row r="43" spans="1:17" x14ac:dyDescent="0.2">
      <c r="A43" t="s">
        <v>16</v>
      </c>
      <c r="B43" t="s">
        <v>17</v>
      </c>
      <c r="C43" t="s">
        <v>35</v>
      </c>
      <c r="E43" t="s">
        <v>100</v>
      </c>
      <c r="G43">
        <v>207431</v>
      </c>
      <c r="I43">
        <v>1</v>
      </c>
      <c r="J43">
        <v>0</v>
      </c>
      <c r="K43">
        <v>1</v>
      </c>
      <c r="L43">
        <v>1</v>
      </c>
      <c r="M43" t="s">
        <v>24</v>
      </c>
      <c r="O43">
        <v>12</v>
      </c>
      <c r="P43" t="s">
        <v>72</v>
      </c>
      <c r="Q43" t="s">
        <v>74</v>
      </c>
    </row>
    <row r="44" spans="1:17" x14ac:dyDescent="0.2">
      <c r="A44" t="s">
        <v>16</v>
      </c>
      <c r="B44" t="s">
        <v>17</v>
      </c>
      <c r="C44" t="s">
        <v>35</v>
      </c>
      <c r="E44" t="s">
        <v>100</v>
      </c>
      <c r="G44">
        <v>207431</v>
      </c>
      <c r="I44">
        <v>1</v>
      </c>
      <c r="J44">
        <v>0</v>
      </c>
      <c r="K44">
        <v>1</v>
      </c>
      <c r="L44">
        <v>1</v>
      </c>
      <c r="M44" t="s">
        <v>23</v>
      </c>
      <c r="O44">
        <v>22</v>
      </c>
      <c r="P44" t="s">
        <v>72</v>
      </c>
      <c r="Q44" t="s">
        <v>74</v>
      </c>
    </row>
    <row r="45" spans="1:17" x14ac:dyDescent="0.2">
      <c r="A45" t="s">
        <v>16</v>
      </c>
      <c r="B45" t="s">
        <v>17</v>
      </c>
      <c r="C45" t="s">
        <v>35</v>
      </c>
      <c r="E45" t="s">
        <v>100</v>
      </c>
      <c r="G45">
        <v>207431</v>
      </c>
      <c r="I45">
        <v>1</v>
      </c>
      <c r="J45">
        <v>0</v>
      </c>
      <c r="K45">
        <v>1</v>
      </c>
      <c r="L45">
        <v>1</v>
      </c>
      <c r="M45" t="s">
        <v>25</v>
      </c>
      <c r="O45">
        <v>7</v>
      </c>
      <c r="P45" t="s">
        <v>72</v>
      </c>
      <c r="Q45" t="s">
        <v>74</v>
      </c>
    </row>
    <row r="46" spans="1:17" x14ac:dyDescent="0.2">
      <c r="A46" t="s">
        <v>16</v>
      </c>
      <c r="B46" t="s">
        <v>17</v>
      </c>
      <c r="C46" t="s">
        <v>35</v>
      </c>
      <c r="E46" t="s">
        <v>100</v>
      </c>
      <c r="G46">
        <v>207431</v>
      </c>
      <c r="I46">
        <v>1</v>
      </c>
      <c r="J46">
        <v>0</v>
      </c>
      <c r="K46">
        <v>1</v>
      </c>
      <c r="L46">
        <v>1</v>
      </c>
      <c r="M46" t="s">
        <v>36</v>
      </c>
      <c r="N46" t="s">
        <v>37</v>
      </c>
      <c r="O46">
        <v>1</v>
      </c>
      <c r="P46" t="s">
        <v>72</v>
      </c>
      <c r="Q46" t="s">
        <v>74</v>
      </c>
    </row>
    <row r="47" spans="1:17" x14ac:dyDescent="0.2">
      <c r="A47" t="s">
        <v>16</v>
      </c>
      <c r="B47" t="s">
        <v>17</v>
      </c>
      <c r="C47" t="s">
        <v>35</v>
      </c>
      <c r="E47" t="s">
        <v>100</v>
      </c>
      <c r="G47">
        <v>207431</v>
      </c>
      <c r="I47">
        <v>1</v>
      </c>
      <c r="J47">
        <v>0</v>
      </c>
      <c r="K47">
        <v>1</v>
      </c>
      <c r="L47">
        <v>1</v>
      </c>
      <c r="M47" t="s">
        <v>19</v>
      </c>
      <c r="O47">
        <v>5</v>
      </c>
      <c r="P47" t="s">
        <v>72</v>
      </c>
      <c r="Q47" t="s">
        <v>74</v>
      </c>
    </row>
    <row r="48" spans="1:17" x14ac:dyDescent="0.2">
      <c r="A48" t="s">
        <v>16</v>
      </c>
      <c r="B48" t="s">
        <v>17</v>
      </c>
      <c r="C48" t="s">
        <v>35</v>
      </c>
      <c r="E48" t="s">
        <v>100</v>
      </c>
      <c r="G48">
        <v>207431</v>
      </c>
      <c r="I48">
        <v>1</v>
      </c>
      <c r="J48">
        <v>0</v>
      </c>
      <c r="K48">
        <v>1</v>
      </c>
      <c r="L48">
        <v>1</v>
      </c>
      <c r="M48" t="s">
        <v>95</v>
      </c>
      <c r="O48">
        <f>0.2092-0.204</f>
        <v>5.2000000000000102E-3</v>
      </c>
      <c r="P48" t="s">
        <v>72</v>
      </c>
      <c r="Q48" t="s">
        <v>75</v>
      </c>
    </row>
    <row r="49" spans="1:17" x14ac:dyDescent="0.2">
      <c r="A49" t="s">
        <v>16</v>
      </c>
      <c r="B49" t="s">
        <v>17</v>
      </c>
      <c r="C49" t="s">
        <v>35</v>
      </c>
      <c r="E49" t="s">
        <v>100</v>
      </c>
      <c r="G49">
        <v>207431</v>
      </c>
      <c r="I49">
        <v>1</v>
      </c>
      <c r="J49">
        <v>0</v>
      </c>
      <c r="K49">
        <v>1</v>
      </c>
      <c r="L49">
        <v>1</v>
      </c>
      <c r="M49" t="s">
        <v>96</v>
      </c>
      <c r="O49">
        <v>5.1999999999999998E-3</v>
      </c>
      <c r="P49" t="s">
        <v>98</v>
      </c>
      <c r="Q49" t="s">
        <v>75</v>
      </c>
    </row>
    <row r="50" spans="1:17" x14ac:dyDescent="0.2">
      <c r="A50" t="s">
        <v>16</v>
      </c>
      <c r="B50" t="s">
        <v>17</v>
      </c>
      <c r="C50" t="s">
        <v>35</v>
      </c>
      <c r="E50" t="s">
        <v>100</v>
      </c>
      <c r="G50">
        <v>207431</v>
      </c>
      <c r="I50">
        <v>1</v>
      </c>
      <c r="J50">
        <v>1</v>
      </c>
      <c r="K50">
        <v>1</v>
      </c>
      <c r="L50">
        <v>0.5</v>
      </c>
      <c r="M50" t="s">
        <v>97</v>
      </c>
      <c r="O50" t="s">
        <v>99</v>
      </c>
      <c r="P50" t="s">
        <v>72</v>
      </c>
      <c r="Q50" t="s">
        <v>75</v>
      </c>
    </row>
    <row r="51" spans="1:17" x14ac:dyDescent="0.2">
      <c r="A51" t="s">
        <v>16</v>
      </c>
      <c r="B51" t="s">
        <v>39</v>
      </c>
      <c r="C51" t="s">
        <v>40</v>
      </c>
      <c r="E51" t="s">
        <v>100</v>
      </c>
      <c r="G51">
        <v>207602</v>
      </c>
      <c r="I51">
        <v>1</v>
      </c>
      <c r="J51">
        <v>1</v>
      </c>
      <c r="K51">
        <v>1.3333333333333334E-2</v>
      </c>
      <c r="L51">
        <v>6.6666666666666671E-3</v>
      </c>
      <c r="M51" t="s">
        <v>43</v>
      </c>
      <c r="O51">
        <v>2</v>
      </c>
      <c r="P51" t="s">
        <v>72</v>
      </c>
      <c r="Q51" t="s">
        <v>74</v>
      </c>
    </row>
    <row r="52" spans="1:17" x14ac:dyDescent="0.2">
      <c r="A52" t="s">
        <v>16</v>
      </c>
      <c r="B52" t="s">
        <v>39</v>
      </c>
      <c r="C52" t="s">
        <v>40</v>
      </c>
      <c r="E52" t="s">
        <v>100</v>
      </c>
      <c r="G52">
        <v>207602</v>
      </c>
      <c r="I52">
        <v>1</v>
      </c>
      <c r="J52">
        <v>1</v>
      </c>
      <c r="K52">
        <v>1.3333333333333334E-2</v>
      </c>
      <c r="L52">
        <v>6.6666666666666671E-3</v>
      </c>
      <c r="M52" t="s">
        <v>80</v>
      </c>
      <c r="N52" t="s">
        <v>37</v>
      </c>
      <c r="O52">
        <v>10</v>
      </c>
      <c r="P52" t="s">
        <v>72</v>
      </c>
      <c r="Q52" t="s">
        <v>74</v>
      </c>
    </row>
    <row r="53" spans="1:17" x14ac:dyDescent="0.2">
      <c r="A53" t="s">
        <v>16</v>
      </c>
      <c r="B53" t="s">
        <v>39</v>
      </c>
      <c r="C53" t="s">
        <v>40</v>
      </c>
      <c r="E53" t="s">
        <v>100</v>
      </c>
      <c r="G53">
        <v>207602</v>
      </c>
      <c r="I53">
        <v>1</v>
      </c>
      <c r="J53">
        <v>1</v>
      </c>
      <c r="K53">
        <v>1.3333333333333334E-2</v>
      </c>
      <c r="L53">
        <v>6.6666666666666671E-3</v>
      </c>
      <c r="M53" t="s">
        <v>78</v>
      </c>
      <c r="N53" t="s">
        <v>81</v>
      </c>
      <c r="O53">
        <v>2</v>
      </c>
      <c r="P53" t="s">
        <v>72</v>
      </c>
      <c r="Q53" t="s">
        <v>74</v>
      </c>
    </row>
    <row r="54" spans="1:17" x14ac:dyDescent="0.2">
      <c r="A54" t="s">
        <v>16</v>
      </c>
      <c r="B54" t="s">
        <v>39</v>
      </c>
      <c r="C54" t="s">
        <v>40</v>
      </c>
      <c r="E54" t="s">
        <v>100</v>
      </c>
      <c r="G54">
        <v>207602</v>
      </c>
      <c r="I54">
        <v>1</v>
      </c>
      <c r="J54">
        <v>1</v>
      </c>
      <c r="K54">
        <v>1.3333333333333334E-2</v>
      </c>
      <c r="L54">
        <v>6.6666666666666671E-3</v>
      </c>
      <c r="M54" t="s">
        <v>78</v>
      </c>
      <c r="N54" s="2" t="s">
        <v>82</v>
      </c>
      <c r="O54">
        <v>2</v>
      </c>
      <c r="P54" t="s">
        <v>72</v>
      </c>
      <c r="Q54" t="s">
        <v>74</v>
      </c>
    </row>
    <row r="55" spans="1:17" x14ac:dyDescent="0.2">
      <c r="A55" t="s">
        <v>16</v>
      </c>
      <c r="B55" t="s">
        <v>39</v>
      </c>
      <c r="C55" t="s">
        <v>40</v>
      </c>
      <c r="E55" t="s">
        <v>100</v>
      </c>
      <c r="G55">
        <v>207602</v>
      </c>
      <c r="I55">
        <v>1</v>
      </c>
      <c r="J55">
        <v>1</v>
      </c>
      <c r="K55">
        <v>1.3333333333333334E-2</v>
      </c>
      <c r="L55">
        <v>6.6666666666666671E-3</v>
      </c>
      <c r="M55" t="s">
        <v>78</v>
      </c>
      <c r="N55" s="2" t="s">
        <v>77</v>
      </c>
      <c r="O55">
        <v>5</v>
      </c>
      <c r="P55" t="s">
        <v>72</v>
      </c>
      <c r="Q55" t="s">
        <v>74</v>
      </c>
    </row>
    <row r="56" spans="1:17" x14ac:dyDescent="0.2">
      <c r="A56" t="s">
        <v>16</v>
      </c>
      <c r="B56" t="s">
        <v>39</v>
      </c>
      <c r="C56" t="s">
        <v>40</v>
      </c>
      <c r="E56" t="s">
        <v>100</v>
      </c>
      <c r="G56">
        <v>207602</v>
      </c>
      <c r="I56">
        <v>1</v>
      </c>
      <c r="J56">
        <v>1</v>
      </c>
      <c r="K56">
        <v>1.3333333333333334E-2</v>
      </c>
      <c r="L56">
        <v>6.6666666666666671E-3</v>
      </c>
      <c r="M56" t="s">
        <v>78</v>
      </c>
      <c r="N56" s="2" t="s">
        <v>83</v>
      </c>
      <c r="O56">
        <v>35</v>
      </c>
      <c r="P56" t="s">
        <v>72</v>
      </c>
      <c r="Q56" t="s">
        <v>74</v>
      </c>
    </row>
    <row r="57" spans="1:17" x14ac:dyDescent="0.2">
      <c r="A57" t="s">
        <v>16</v>
      </c>
      <c r="B57" t="s">
        <v>39</v>
      </c>
      <c r="C57" t="s">
        <v>40</v>
      </c>
      <c r="E57" t="s">
        <v>100</v>
      </c>
      <c r="G57">
        <v>207602</v>
      </c>
      <c r="I57">
        <v>1</v>
      </c>
      <c r="J57">
        <v>1</v>
      </c>
      <c r="K57">
        <v>1.3333333333333334E-2</v>
      </c>
      <c r="L57">
        <v>6.6666666666666671E-3</v>
      </c>
      <c r="M57" t="s">
        <v>78</v>
      </c>
      <c r="N57" s="2" t="s">
        <v>41</v>
      </c>
      <c r="O57">
        <v>34</v>
      </c>
      <c r="P57" t="s">
        <v>72</v>
      </c>
      <c r="Q57" t="s">
        <v>74</v>
      </c>
    </row>
    <row r="58" spans="1:17" x14ac:dyDescent="0.2">
      <c r="A58" t="s">
        <v>16</v>
      </c>
      <c r="B58" t="s">
        <v>39</v>
      </c>
      <c r="C58" t="s">
        <v>40</v>
      </c>
      <c r="E58" t="s">
        <v>100</v>
      </c>
      <c r="G58">
        <v>207602</v>
      </c>
      <c r="I58">
        <v>1</v>
      </c>
      <c r="J58">
        <v>1</v>
      </c>
      <c r="K58">
        <v>1.3333333333333334E-2</v>
      </c>
      <c r="L58">
        <v>6.6666666666666671E-3</v>
      </c>
      <c r="M58" t="s">
        <v>34</v>
      </c>
      <c r="N58" s="2" t="s">
        <v>83</v>
      </c>
      <c r="O58">
        <v>1</v>
      </c>
      <c r="P58" t="s">
        <v>72</v>
      </c>
      <c r="Q58" t="s">
        <v>74</v>
      </c>
    </row>
    <row r="59" spans="1:17" x14ac:dyDescent="0.2">
      <c r="A59" t="s">
        <v>16</v>
      </c>
      <c r="B59" t="s">
        <v>39</v>
      </c>
      <c r="C59" t="s">
        <v>40</v>
      </c>
      <c r="E59" t="s">
        <v>100</v>
      </c>
      <c r="G59">
        <v>207602</v>
      </c>
      <c r="I59">
        <v>1</v>
      </c>
      <c r="J59">
        <v>1</v>
      </c>
      <c r="K59">
        <v>1.3333333333333334E-2</v>
      </c>
      <c r="L59">
        <v>6.6666666666666671E-3</v>
      </c>
      <c r="M59" t="s">
        <v>86</v>
      </c>
      <c r="N59" s="2" t="s">
        <v>77</v>
      </c>
      <c r="O59">
        <v>1</v>
      </c>
      <c r="P59" t="s">
        <v>72</v>
      </c>
      <c r="Q59" t="s">
        <v>74</v>
      </c>
    </row>
    <row r="60" spans="1:17" x14ac:dyDescent="0.2">
      <c r="A60" t="s">
        <v>16</v>
      </c>
      <c r="B60" t="s">
        <v>39</v>
      </c>
      <c r="C60" t="s">
        <v>40</v>
      </c>
      <c r="E60" t="s">
        <v>100</v>
      </c>
      <c r="G60">
        <v>207602</v>
      </c>
      <c r="I60">
        <v>1</v>
      </c>
      <c r="J60">
        <v>1</v>
      </c>
      <c r="K60">
        <v>1.3333333333333334E-2</v>
      </c>
      <c r="L60">
        <v>6.6666666666666671E-3</v>
      </c>
      <c r="M60" t="s">
        <v>86</v>
      </c>
      <c r="N60" s="2" t="s">
        <v>83</v>
      </c>
      <c r="O60">
        <v>8</v>
      </c>
      <c r="P60" t="s">
        <v>72</v>
      </c>
      <c r="Q60" t="s">
        <v>74</v>
      </c>
    </row>
    <row r="61" spans="1:17" x14ac:dyDescent="0.2">
      <c r="A61" t="s">
        <v>16</v>
      </c>
      <c r="B61" t="s">
        <v>39</v>
      </c>
      <c r="C61" t="s">
        <v>40</v>
      </c>
      <c r="E61" t="s">
        <v>100</v>
      </c>
      <c r="G61">
        <v>207602</v>
      </c>
      <c r="I61">
        <v>1</v>
      </c>
      <c r="J61">
        <v>1</v>
      </c>
      <c r="K61">
        <v>1.3333333333333334E-2</v>
      </c>
      <c r="L61">
        <v>6.6666666666666671E-3</v>
      </c>
      <c r="M61" t="s">
        <v>86</v>
      </c>
      <c r="N61" s="2" t="s">
        <v>41</v>
      </c>
      <c r="O61">
        <v>7</v>
      </c>
      <c r="P61" t="s">
        <v>72</v>
      </c>
      <c r="Q61" t="s">
        <v>74</v>
      </c>
    </row>
    <row r="62" spans="1:17" x14ac:dyDescent="0.2">
      <c r="A62" t="s">
        <v>16</v>
      </c>
      <c r="B62" t="s">
        <v>39</v>
      </c>
      <c r="C62" t="s">
        <v>40</v>
      </c>
      <c r="E62" t="s">
        <v>100</v>
      </c>
      <c r="G62">
        <v>207602</v>
      </c>
      <c r="I62">
        <v>1</v>
      </c>
      <c r="J62">
        <v>1</v>
      </c>
      <c r="K62">
        <v>1.3333333333333334E-2</v>
      </c>
      <c r="L62">
        <v>6.6666666666666671E-3</v>
      </c>
      <c r="M62" t="s">
        <v>34</v>
      </c>
      <c r="N62" t="s">
        <v>41</v>
      </c>
      <c r="O62">
        <v>4</v>
      </c>
      <c r="P62" t="s">
        <v>72</v>
      </c>
      <c r="Q62" t="s">
        <v>74</v>
      </c>
    </row>
    <row r="63" spans="1:17" x14ac:dyDescent="0.2">
      <c r="A63" t="s">
        <v>16</v>
      </c>
      <c r="B63" t="s">
        <v>39</v>
      </c>
      <c r="C63" t="s">
        <v>40</v>
      </c>
      <c r="E63" t="s">
        <v>100</v>
      </c>
      <c r="G63">
        <v>207602</v>
      </c>
      <c r="I63">
        <v>1</v>
      </c>
      <c r="J63">
        <v>1</v>
      </c>
      <c r="K63">
        <v>1.3333333333333334E-2</v>
      </c>
      <c r="L63">
        <v>6.6666666666666671E-3</v>
      </c>
      <c r="M63" t="s">
        <v>46</v>
      </c>
      <c r="O63">
        <v>1</v>
      </c>
      <c r="P63" t="s">
        <v>72</v>
      </c>
      <c r="Q63" t="s">
        <v>74</v>
      </c>
    </row>
    <row r="64" spans="1:17" x14ac:dyDescent="0.2">
      <c r="A64" t="s">
        <v>16</v>
      </c>
      <c r="B64" t="s">
        <v>39</v>
      </c>
      <c r="C64" t="s">
        <v>40</v>
      </c>
      <c r="E64" t="s">
        <v>100</v>
      </c>
      <c r="G64">
        <v>207602</v>
      </c>
      <c r="I64">
        <v>1</v>
      </c>
      <c r="J64">
        <v>1</v>
      </c>
      <c r="K64">
        <v>1.3333333333333334E-2</v>
      </c>
      <c r="L64">
        <v>6.6666666666666671E-3</v>
      </c>
      <c r="M64" t="s">
        <v>69</v>
      </c>
      <c r="N64" t="s">
        <v>33</v>
      </c>
      <c r="O64">
        <v>4</v>
      </c>
      <c r="P64" t="s">
        <v>72</v>
      </c>
      <c r="Q64" t="s">
        <v>74</v>
      </c>
    </row>
    <row r="65" spans="1:17" x14ac:dyDescent="0.2">
      <c r="A65" t="s">
        <v>16</v>
      </c>
      <c r="B65" t="s">
        <v>39</v>
      </c>
      <c r="C65" t="s">
        <v>40</v>
      </c>
      <c r="E65" t="s">
        <v>100</v>
      </c>
      <c r="G65">
        <v>207602</v>
      </c>
      <c r="I65">
        <v>1</v>
      </c>
      <c r="J65">
        <v>1</v>
      </c>
      <c r="K65">
        <v>1.3333333333333334E-2</v>
      </c>
      <c r="L65">
        <v>6.6666666666666671E-3</v>
      </c>
      <c r="M65" t="s">
        <v>70</v>
      </c>
      <c r="N65" t="s">
        <v>90</v>
      </c>
      <c r="O65">
        <v>42</v>
      </c>
      <c r="P65" t="s">
        <v>72</v>
      </c>
      <c r="Q65" t="s">
        <v>74</v>
      </c>
    </row>
    <row r="66" spans="1:17" x14ac:dyDescent="0.2">
      <c r="A66" t="s">
        <v>16</v>
      </c>
      <c r="B66" t="s">
        <v>39</v>
      </c>
      <c r="C66" t="s">
        <v>40</v>
      </c>
      <c r="E66" t="s">
        <v>100</v>
      </c>
      <c r="G66">
        <v>207602</v>
      </c>
      <c r="I66">
        <v>1</v>
      </c>
      <c r="J66">
        <v>1</v>
      </c>
      <c r="K66">
        <v>1.3333333333333334E-2</v>
      </c>
      <c r="L66">
        <v>6.6666666666666671E-3</v>
      </c>
      <c r="M66" t="s">
        <v>70</v>
      </c>
      <c r="N66" t="s">
        <v>91</v>
      </c>
      <c r="O66">
        <v>2</v>
      </c>
      <c r="P66" t="s">
        <v>72</v>
      </c>
      <c r="Q66" t="s">
        <v>74</v>
      </c>
    </row>
    <row r="67" spans="1:17" x14ac:dyDescent="0.2">
      <c r="A67" t="s">
        <v>16</v>
      </c>
      <c r="B67" t="s">
        <v>39</v>
      </c>
      <c r="C67" t="s">
        <v>40</v>
      </c>
      <c r="E67" t="s">
        <v>100</v>
      </c>
      <c r="G67">
        <v>207602</v>
      </c>
      <c r="I67">
        <v>1</v>
      </c>
      <c r="J67">
        <v>1</v>
      </c>
      <c r="K67">
        <v>1.3333333333333334E-2</v>
      </c>
      <c r="L67">
        <v>6.6666666666666671E-3</v>
      </c>
      <c r="M67" t="s">
        <v>70</v>
      </c>
      <c r="N67" t="s">
        <v>33</v>
      </c>
      <c r="O67">
        <v>7</v>
      </c>
      <c r="P67" t="s">
        <v>72</v>
      </c>
      <c r="Q67" t="s">
        <v>74</v>
      </c>
    </row>
    <row r="68" spans="1:17" x14ac:dyDescent="0.2">
      <c r="A68" t="s">
        <v>16</v>
      </c>
      <c r="B68" t="s">
        <v>39</v>
      </c>
      <c r="C68" t="s">
        <v>40</v>
      </c>
      <c r="E68" t="s">
        <v>100</v>
      </c>
      <c r="G68">
        <v>207602</v>
      </c>
      <c r="I68">
        <v>1</v>
      </c>
      <c r="J68">
        <v>1</v>
      </c>
      <c r="K68">
        <v>1.3333333333333334E-2</v>
      </c>
      <c r="L68">
        <v>6.6666666666666671E-3</v>
      </c>
      <c r="M68" t="s">
        <v>94</v>
      </c>
      <c r="N68" t="s">
        <v>76</v>
      </c>
      <c r="O68">
        <v>13</v>
      </c>
      <c r="P68" t="s">
        <v>72</v>
      </c>
      <c r="Q68" t="s">
        <v>74</v>
      </c>
    </row>
    <row r="69" spans="1:17" x14ac:dyDescent="0.2">
      <c r="A69" t="s">
        <v>16</v>
      </c>
      <c r="B69" t="s">
        <v>39</v>
      </c>
      <c r="C69" t="s">
        <v>40</v>
      </c>
      <c r="E69" t="s">
        <v>100</v>
      </c>
      <c r="G69">
        <v>207602</v>
      </c>
      <c r="I69">
        <v>1</v>
      </c>
      <c r="J69">
        <v>1</v>
      </c>
      <c r="K69">
        <v>1.3333333333333334E-2</v>
      </c>
      <c r="L69">
        <v>6.6666666666666671E-3</v>
      </c>
      <c r="M69" t="s">
        <v>28</v>
      </c>
      <c r="O69">
        <v>4</v>
      </c>
      <c r="P69" t="s">
        <v>72</v>
      </c>
      <c r="Q69" t="s">
        <v>74</v>
      </c>
    </row>
    <row r="70" spans="1:17" x14ac:dyDescent="0.2">
      <c r="A70" t="s">
        <v>16</v>
      </c>
      <c r="B70" t="s">
        <v>39</v>
      </c>
      <c r="C70" t="s">
        <v>40</v>
      </c>
      <c r="E70" t="s">
        <v>100</v>
      </c>
      <c r="G70">
        <v>207602</v>
      </c>
      <c r="I70">
        <v>1</v>
      </c>
      <c r="J70">
        <v>1</v>
      </c>
      <c r="K70">
        <v>1.3333333333333334E-2</v>
      </c>
      <c r="L70">
        <v>6.6666666666666671E-3</v>
      </c>
      <c r="M70" t="s">
        <v>42</v>
      </c>
      <c r="N70" t="s">
        <v>33</v>
      </c>
      <c r="O70">
        <v>9</v>
      </c>
      <c r="P70" t="s">
        <v>72</v>
      </c>
      <c r="Q70" t="s">
        <v>74</v>
      </c>
    </row>
    <row r="71" spans="1:17" x14ac:dyDescent="0.2">
      <c r="A71" t="s">
        <v>16</v>
      </c>
      <c r="B71" t="s">
        <v>39</v>
      </c>
      <c r="C71" t="s">
        <v>40</v>
      </c>
      <c r="E71" t="s">
        <v>100</v>
      </c>
      <c r="G71">
        <v>207602</v>
      </c>
      <c r="I71">
        <v>1</v>
      </c>
      <c r="J71">
        <v>1</v>
      </c>
      <c r="K71">
        <v>1.3333333333333334E-2</v>
      </c>
      <c r="L71">
        <v>6.6666666666666671E-3</v>
      </c>
      <c r="M71" t="s">
        <v>31</v>
      </c>
      <c r="O71">
        <v>3</v>
      </c>
      <c r="P71" t="s">
        <v>72</v>
      </c>
      <c r="Q71" t="s">
        <v>74</v>
      </c>
    </row>
    <row r="72" spans="1:17" x14ac:dyDescent="0.2">
      <c r="A72" t="s">
        <v>16</v>
      </c>
      <c r="B72" t="s">
        <v>39</v>
      </c>
      <c r="C72" t="s">
        <v>40</v>
      </c>
      <c r="E72" t="s">
        <v>100</v>
      </c>
      <c r="G72">
        <v>207602</v>
      </c>
      <c r="I72">
        <v>1</v>
      </c>
      <c r="J72">
        <v>1</v>
      </c>
      <c r="K72">
        <v>1.3333333333333334E-2</v>
      </c>
      <c r="L72">
        <v>6.6666666666666671E-3</v>
      </c>
      <c r="M72" t="s">
        <v>20</v>
      </c>
      <c r="O72">
        <v>1</v>
      </c>
      <c r="P72" t="s">
        <v>72</v>
      </c>
      <c r="Q72" t="s">
        <v>74</v>
      </c>
    </row>
    <row r="73" spans="1:17" x14ac:dyDescent="0.2">
      <c r="A73" t="s">
        <v>16</v>
      </c>
      <c r="B73" t="s">
        <v>39</v>
      </c>
      <c r="C73" t="s">
        <v>40</v>
      </c>
      <c r="E73" t="s">
        <v>100</v>
      </c>
      <c r="G73">
        <v>207602</v>
      </c>
      <c r="I73">
        <v>1</v>
      </c>
      <c r="J73">
        <v>1</v>
      </c>
      <c r="K73">
        <v>1.3333333333333334E-2</v>
      </c>
      <c r="L73">
        <v>6.6666666666666671E-3</v>
      </c>
      <c r="M73" t="s">
        <v>32</v>
      </c>
      <c r="N73" t="s">
        <v>33</v>
      </c>
      <c r="O73">
        <v>1</v>
      </c>
      <c r="P73" t="s">
        <v>72</v>
      </c>
      <c r="Q73" t="s">
        <v>74</v>
      </c>
    </row>
    <row r="74" spans="1:17" x14ac:dyDescent="0.2">
      <c r="A74" t="s">
        <v>16</v>
      </c>
      <c r="B74" t="s">
        <v>39</v>
      </c>
      <c r="C74" t="s">
        <v>40</v>
      </c>
      <c r="E74" t="s">
        <v>100</v>
      </c>
      <c r="G74">
        <v>207602</v>
      </c>
      <c r="I74">
        <v>1</v>
      </c>
      <c r="J74">
        <v>1</v>
      </c>
      <c r="K74">
        <v>1.3333333333333334E-2</v>
      </c>
      <c r="L74">
        <v>6.6666666666666671E-3</v>
      </c>
      <c r="M74" t="s">
        <v>45</v>
      </c>
      <c r="O74">
        <v>1</v>
      </c>
      <c r="P74" t="s">
        <v>72</v>
      </c>
      <c r="Q74" t="s">
        <v>74</v>
      </c>
    </row>
    <row r="75" spans="1:17" x14ac:dyDescent="0.2">
      <c r="A75" t="s">
        <v>16</v>
      </c>
      <c r="B75" t="s">
        <v>39</v>
      </c>
      <c r="C75" t="s">
        <v>40</v>
      </c>
      <c r="E75" t="s">
        <v>100</v>
      </c>
      <c r="G75">
        <v>207602</v>
      </c>
      <c r="I75">
        <v>1</v>
      </c>
      <c r="J75">
        <v>1</v>
      </c>
      <c r="K75">
        <v>1.3333333333333334E-2</v>
      </c>
      <c r="L75">
        <v>6.6666666666666671E-3</v>
      </c>
      <c r="M75" t="s">
        <v>24</v>
      </c>
      <c r="O75">
        <v>12</v>
      </c>
      <c r="P75" t="s">
        <v>72</v>
      </c>
      <c r="Q75" t="s">
        <v>74</v>
      </c>
    </row>
    <row r="76" spans="1:17" x14ac:dyDescent="0.2">
      <c r="A76" t="s">
        <v>16</v>
      </c>
      <c r="B76" t="s">
        <v>39</v>
      </c>
      <c r="C76" t="s">
        <v>40</v>
      </c>
      <c r="E76" t="s">
        <v>100</v>
      </c>
      <c r="G76">
        <v>207602</v>
      </c>
      <c r="I76">
        <v>1</v>
      </c>
      <c r="J76">
        <v>1</v>
      </c>
      <c r="K76">
        <v>1.3333333333333334E-2</v>
      </c>
      <c r="L76">
        <v>6.6666666666666671E-3</v>
      </c>
      <c r="M76" t="s">
        <v>23</v>
      </c>
      <c r="O76">
        <v>35</v>
      </c>
      <c r="P76" t="s">
        <v>72</v>
      </c>
      <c r="Q76" t="s">
        <v>74</v>
      </c>
    </row>
    <row r="77" spans="1:17" x14ac:dyDescent="0.2">
      <c r="A77" t="s">
        <v>16</v>
      </c>
      <c r="B77" t="s">
        <v>39</v>
      </c>
      <c r="C77" t="s">
        <v>40</v>
      </c>
      <c r="E77" t="s">
        <v>100</v>
      </c>
      <c r="G77">
        <v>207602</v>
      </c>
      <c r="I77">
        <v>1</v>
      </c>
      <c r="J77">
        <v>1</v>
      </c>
      <c r="K77">
        <v>1.3333333333333334E-2</v>
      </c>
      <c r="L77">
        <v>6.6666666666666671E-3</v>
      </c>
      <c r="M77" t="s">
        <v>25</v>
      </c>
      <c r="O77">
        <v>9</v>
      </c>
      <c r="P77" t="s">
        <v>72</v>
      </c>
      <c r="Q77" t="s">
        <v>74</v>
      </c>
    </row>
    <row r="78" spans="1:17" x14ac:dyDescent="0.2">
      <c r="A78" t="s">
        <v>16</v>
      </c>
      <c r="B78" t="s">
        <v>39</v>
      </c>
      <c r="C78" t="s">
        <v>40</v>
      </c>
      <c r="E78" t="s">
        <v>100</v>
      </c>
      <c r="G78">
        <v>207602</v>
      </c>
      <c r="I78">
        <v>1</v>
      </c>
      <c r="J78">
        <v>1</v>
      </c>
      <c r="K78">
        <v>1.3333333333333334E-2</v>
      </c>
      <c r="L78">
        <v>6.6666666666666671E-3</v>
      </c>
      <c r="M78" t="s">
        <v>27</v>
      </c>
      <c r="O78">
        <v>23</v>
      </c>
      <c r="P78" t="s">
        <v>72</v>
      </c>
      <c r="Q78" t="s">
        <v>74</v>
      </c>
    </row>
    <row r="79" spans="1:17" x14ac:dyDescent="0.2">
      <c r="A79" t="s">
        <v>16</v>
      </c>
      <c r="B79" t="s">
        <v>39</v>
      </c>
      <c r="C79" t="s">
        <v>40</v>
      </c>
      <c r="E79" t="s">
        <v>100</v>
      </c>
      <c r="G79">
        <v>207602</v>
      </c>
      <c r="I79">
        <v>1</v>
      </c>
      <c r="J79">
        <v>1</v>
      </c>
      <c r="K79">
        <v>1.3333333333333334E-2</v>
      </c>
      <c r="L79">
        <v>6.6666666666666671E-3</v>
      </c>
      <c r="M79" t="s">
        <v>19</v>
      </c>
      <c r="O79">
        <v>54</v>
      </c>
      <c r="P79" t="s">
        <v>72</v>
      </c>
      <c r="Q79" t="s">
        <v>74</v>
      </c>
    </row>
    <row r="80" spans="1:17" x14ac:dyDescent="0.2">
      <c r="A80" t="s">
        <v>16</v>
      </c>
      <c r="B80" t="s">
        <v>39</v>
      </c>
      <c r="C80" t="s">
        <v>40</v>
      </c>
      <c r="E80" t="s">
        <v>100</v>
      </c>
      <c r="G80">
        <v>207602</v>
      </c>
      <c r="I80">
        <v>1</v>
      </c>
      <c r="J80">
        <v>1</v>
      </c>
      <c r="K80">
        <v>1.3333333333333334E-2</v>
      </c>
      <c r="L80">
        <v>6.6666666666666671E-3</v>
      </c>
      <c r="M80" t="s">
        <v>26</v>
      </c>
      <c r="O80">
        <v>1</v>
      </c>
      <c r="P80" t="s">
        <v>72</v>
      </c>
      <c r="Q80" t="s">
        <v>74</v>
      </c>
    </row>
    <row r="81" spans="1:17" x14ac:dyDescent="0.2">
      <c r="A81" t="s">
        <v>16</v>
      </c>
      <c r="B81" t="s">
        <v>39</v>
      </c>
      <c r="C81" t="s">
        <v>40</v>
      </c>
      <c r="E81" t="s">
        <v>100</v>
      </c>
      <c r="G81">
        <v>207602</v>
      </c>
      <c r="I81">
        <v>1</v>
      </c>
      <c r="J81">
        <v>1</v>
      </c>
      <c r="K81">
        <v>1.3333333333333334E-2</v>
      </c>
      <c r="L81">
        <v>6.6666666666666671E-3</v>
      </c>
      <c r="M81" t="s">
        <v>44</v>
      </c>
      <c r="O81">
        <v>2</v>
      </c>
      <c r="P81" t="s">
        <v>72</v>
      </c>
      <c r="Q81" t="s">
        <v>74</v>
      </c>
    </row>
    <row r="82" spans="1:17" x14ac:dyDescent="0.2">
      <c r="A82" t="s">
        <v>16</v>
      </c>
      <c r="B82" t="s">
        <v>39</v>
      </c>
      <c r="C82" t="s">
        <v>40</v>
      </c>
      <c r="E82" t="s">
        <v>100</v>
      </c>
      <c r="G82">
        <v>207602</v>
      </c>
      <c r="I82">
        <v>1</v>
      </c>
      <c r="J82">
        <v>0</v>
      </c>
      <c r="K82">
        <v>1</v>
      </c>
      <c r="L82">
        <v>1</v>
      </c>
      <c r="M82" t="s">
        <v>43</v>
      </c>
      <c r="O82">
        <v>2</v>
      </c>
      <c r="P82" t="s">
        <v>73</v>
      </c>
      <c r="Q82" t="s">
        <v>74</v>
      </c>
    </row>
    <row r="83" spans="1:17" x14ac:dyDescent="0.2">
      <c r="A83" t="s">
        <v>16</v>
      </c>
      <c r="B83" t="s">
        <v>39</v>
      </c>
      <c r="C83" t="s">
        <v>40</v>
      </c>
      <c r="E83" t="s">
        <v>100</v>
      </c>
      <c r="G83">
        <v>207602</v>
      </c>
      <c r="I83">
        <v>1</v>
      </c>
      <c r="J83">
        <v>0</v>
      </c>
      <c r="K83">
        <v>1</v>
      </c>
      <c r="L83">
        <v>1</v>
      </c>
      <c r="M83" t="s">
        <v>49</v>
      </c>
      <c r="N83" t="s">
        <v>37</v>
      </c>
      <c r="O83">
        <v>1</v>
      </c>
      <c r="P83" t="s">
        <v>73</v>
      </c>
      <c r="Q83" t="s">
        <v>74</v>
      </c>
    </row>
    <row r="84" spans="1:17" x14ac:dyDescent="0.2">
      <c r="A84" t="s">
        <v>16</v>
      </c>
      <c r="B84" t="s">
        <v>39</v>
      </c>
      <c r="C84" t="s">
        <v>40</v>
      </c>
      <c r="E84" t="s">
        <v>100</v>
      </c>
      <c r="G84">
        <v>207602</v>
      </c>
      <c r="I84">
        <v>1</v>
      </c>
      <c r="J84">
        <v>0</v>
      </c>
      <c r="K84">
        <v>1</v>
      </c>
      <c r="L84">
        <v>1</v>
      </c>
      <c r="M84" t="s">
        <v>47</v>
      </c>
      <c r="O84">
        <v>1</v>
      </c>
      <c r="P84" t="s">
        <v>73</v>
      </c>
      <c r="Q84" t="s">
        <v>74</v>
      </c>
    </row>
    <row r="85" spans="1:17" x14ac:dyDescent="0.2">
      <c r="A85" t="s">
        <v>16</v>
      </c>
      <c r="B85" t="s">
        <v>39</v>
      </c>
      <c r="C85" t="s">
        <v>40</v>
      </c>
      <c r="E85" t="s">
        <v>100</v>
      </c>
      <c r="G85">
        <v>207602</v>
      </c>
      <c r="I85">
        <v>1</v>
      </c>
      <c r="J85">
        <v>0</v>
      </c>
      <c r="K85">
        <v>1</v>
      </c>
      <c r="L85">
        <v>1</v>
      </c>
      <c r="M85" t="s">
        <v>48</v>
      </c>
      <c r="O85">
        <v>2</v>
      </c>
      <c r="P85" t="s">
        <v>73</v>
      </c>
      <c r="Q85" t="s">
        <v>74</v>
      </c>
    </row>
    <row r="86" spans="1:17" x14ac:dyDescent="0.2">
      <c r="A86" t="s">
        <v>16</v>
      </c>
      <c r="B86" t="s">
        <v>39</v>
      </c>
      <c r="C86" t="s">
        <v>40</v>
      </c>
      <c r="E86" t="s">
        <v>100</v>
      </c>
      <c r="G86">
        <v>207602</v>
      </c>
      <c r="I86">
        <v>1</v>
      </c>
      <c r="J86">
        <v>0</v>
      </c>
      <c r="K86">
        <v>1</v>
      </c>
      <c r="L86">
        <v>1</v>
      </c>
      <c r="M86" t="s">
        <v>43</v>
      </c>
      <c r="O86">
        <v>0.1449</v>
      </c>
      <c r="P86" t="s">
        <v>73</v>
      </c>
      <c r="Q86" t="s">
        <v>75</v>
      </c>
    </row>
    <row r="87" spans="1:17" x14ac:dyDescent="0.2">
      <c r="A87" t="s">
        <v>16</v>
      </c>
      <c r="B87" t="s">
        <v>39</v>
      </c>
      <c r="C87" t="s">
        <v>40</v>
      </c>
      <c r="E87" t="s">
        <v>100</v>
      </c>
      <c r="G87">
        <v>207602</v>
      </c>
      <c r="I87">
        <v>1</v>
      </c>
      <c r="J87">
        <v>0</v>
      </c>
      <c r="K87">
        <v>1</v>
      </c>
      <c r="L87">
        <v>1</v>
      </c>
      <c r="M87" t="s">
        <v>49</v>
      </c>
      <c r="N87" t="s">
        <v>37</v>
      </c>
      <c r="O87">
        <v>4.0000000000000001E-3</v>
      </c>
      <c r="P87" t="s">
        <v>73</v>
      </c>
      <c r="Q87" t="s">
        <v>75</v>
      </c>
    </row>
    <row r="88" spans="1:17" x14ac:dyDescent="0.2">
      <c r="A88" t="s">
        <v>16</v>
      </c>
      <c r="B88" t="s">
        <v>39</v>
      </c>
      <c r="C88" t="s">
        <v>40</v>
      </c>
      <c r="E88" t="s">
        <v>100</v>
      </c>
      <c r="G88">
        <v>207602</v>
      </c>
      <c r="I88">
        <v>1</v>
      </c>
      <c r="J88">
        <v>0</v>
      </c>
      <c r="K88">
        <v>1</v>
      </c>
      <c r="L88">
        <v>1</v>
      </c>
      <c r="M88" t="s">
        <v>47</v>
      </c>
      <c r="O88">
        <v>4.48E-2</v>
      </c>
      <c r="P88" t="s">
        <v>73</v>
      </c>
      <c r="Q88" t="s">
        <v>75</v>
      </c>
    </row>
    <row r="89" spans="1:17" x14ac:dyDescent="0.2">
      <c r="A89" t="s">
        <v>16</v>
      </c>
      <c r="B89" t="s">
        <v>39</v>
      </c>
      <c r="C89" t="s">
        <v>40</v>
      </c>
      <c r="E89" t="s">
        <v>100</v>
      </c>
      <c r="G89">
        <v>207602</v>
      </c>
      <c r="I89">
        <v>1</v>
      </c>
      <c r="J89">
        <v>0</v>
      </c>
      <c r="K89">
        <v>1</v>
      </c>
      <c r="L89">
        <v>1</v>
      </c>
      <c r="M89" t="s">
        <v>48</v>
      </c>
      <c r="O89">
        <v>9.11E-2</v>
      </c>
      <c r="P89" t="s">
        <v>73</v>
      </c>
      <c r="Q89" t="s">
        <v>75</v>
      </c>
    </row>
    <row r="90" spans="1:17" x14ac:dyDescent="0.2">
      <c r="A90" t="s">
        <v>16</v>
      </c>
      <c r="B90" t="s">
        <v>39</v>
      </c>
      <c r="C90" t="s">
        <v>40</v>
      </c>
      <c r="E90" t="s">
        <v>100</v>
      </c>
      <c r="G90">
        <v>207602</v>
      </c>
      <c r="I90">
        <v>1</v>
      </c>
      <c r="J90">
        <v>0</v>
      </c>
      <c r="K90">
        <v>1</v>
      </c>
      <c r="L90">
        <v>1</v>
      </c>
      <c r="M90" t="s">
        <v>95</v>
      </c>
      <c r="O90">
        <f>SUM(O86:O89)</f>
        <v>0.2848</v>
      </c>
      <c r="P90" t="s">
        <v>73</v>
      </c>
      <c r="Q90" t="s">
        <v>75</v>
      </c>
    </row>
    <row r="91" spans="1:17" x14ac:dyDescent="0.2">
      <c r="A91" t="s">
        <v>16</v>
      </c>
      <c r="B91" t="s">
        <v>39</v>
      </c>
      <c r="C91" t="s">
        <v>40</v>
      </c>
      <c r="E91" t="s">
        <v>100</v>
      </c>
      <c r="G91">
        <v>207602</v>
      </c>
      <c r="I91">
        <v>1</v>
      </c>
      <c r="J91">
        <v>0</v>
      </c>
      <c r="K91">
        <v>1</v>
      </c>
      <c r="L91">
        <v>1</v>
      </c>
      <c r="M91" t="s">
        <v>95</v>
      </c>
      <c r="O91">
        <f>15.5287-2.2163</f>
        <v>13.3124</v>
      </c>
      <c r="P91" t="s">
        <v>72</v>
      </c>
      <c r="Q91" t="s">
        <v>75</v>
      </c>
    </row>
    <row r="92" spans="1:17" x14ac:dyDescent="0.2">
      <c r="A92" t="s">
        <v>16</v>
      </c>
      <c r="B92" t="s">
        <v>39</v>
      </c>
      <c r="C92" t="s">
        <v>40</v>
      </c>
      <c r="E92" t="s">
        <v>100</v>
      </c>
      <c r="G92">
        <v>207602</v>
      </c>
      <c r="I92">
        <v>1</v>
      </c>
      <c r="J92">
        <v>0</v>
      </c>
      <c r="K92">
        <v>1</v>
      </c>
      <c r="L92">
        <v>1</v>
      </c>
      <c r="M92" t="s">
        <v>96</v>
      </c>
      <c r="O92">
        <f>SUM(O90:O91)</f>
        <v>13.597200000000001</v>
      </c>
      <c r="P92" t="s">
        <v>98</v>
      </c>
      <c r="Q92" t="s">
        <v>75</v>
      </c>
    </row>
    <row r="93" spans="1:17" x14ac:dyDescent="0.2">
      <c r="A93" t="s">
        <v>16</v>
      </c>
      <c r="B93" t="s">
        <v>39</v>
      </c>
      <c r="C93" t="s">
        <v>40</v>
      </c>
      <c r="E93" t="s">
        <v>100</v>
      </c>
      <c r="G93">
        <v>207602</v>
      </c>
      <c r="I93">
        <v>1</v>
      </c>
      <c r="J93">
        <v>1</v>
      </c>
      <c r="K93">
        <v>1</v>
      </c>
      <c r="L93">
        <v>0.5</v>
      </c>
      <c r="M93" t="s">
        <v>97</v>
      </c>
      <c r="O93">
        <f>1.1569-0.1013</f>
        <v>1.0556000000000001</v>
      </c>
      <c r="P93" t="s">
        <v>72</v>
      </c>
      <c r="Q93" t="s">
        <v>75</v>
      </c>
    </row>
    <row r="94" spans="1:17" x14ac:dyDescent="0.2">
      <c r="A94" t="s">
        <v>16</v>
      </c>
      <c r="B94" t="s">
        <v>39</v>
      </c>
      <c r="C94" t="s">
        <v>50</v>
      </c>
      <c r="E94" t="s">
        <v>100</v>
      </c>
      <c r="G94">
        <v>207608</v>
      </c>
      <c r="I94">
        <v>1</v>
      </c>
      <c r="J94">
        <v>1</v>
      </c>
      <c r="K94">
        <v>0.05</v>
      </c>
      <c r="L94">
        <v>2.5000000000000001E-2</v>
      </c>
      <c r="M94" t="s">
        <v>43</v>
      </c>
      <c r="O94">
        <v>1</v>
      </c>
      <c r="P94" t="s">
        <v>72</v>
      </c>
      <c r="Q94" t="s">
        <v>74</v>
      </c>
    </row>
    <row r="95" spans="1:17" x14ac:dyDescent="0.2">
      <c r="A95" t="s">
        <v>16</v>
      </c>
      <c r="B95" t="s">
        <v>39</v>
      </c>
      <c r="C95" t="s">
        <v>50</v>
      </c>
      <c r="E95" t="s">
        <v>100</v>
      </c>
      <c r="G95">
        <v>207608</v>
      </c>
      <c r="I95">
        <v>1</v>
      </c>
      <c r="J95">
        <v>1</v>
      </c>
      <c r="K95">
        <v>0.05</v>
      </c>
      <c r="L95">
        <v>2.5000000000000001E-2</v>
      </c>
      <c r="M95" t="s">
        <v>80</v>
      </c>
      <c r="N95" t="s">
        <v>37</v>
      </c>
      <c r="O95">
        <v>4</v>
      </c>
      <c r="P95" t="s">
        <v>72</v>
      </c>
      <c r="Q95" t="s">
        <v>74</v>
      </c>
    </row>
    <row r="96" spans="1:17" x14ac:dyDescent="0.2">
      <c r="A96" t="s">
        <v>16</v>
      </c>
      <c r="B96" t="s">
        <v>39</v>
      </c>
      <c r="C96" t="s">
        <v>50</v>
      </c>
      <c r="E96" t="s">
        <v>100</v>
      </c>
      <c r="G96">
        <v>207608</v>
      </c>
      <c r="I96">
        <v>2</v>
      </c>
      <c r="J96">
        <v>1</v>
      </c>
      <c r="K96">
        <v>0.1</v>
      </c>
      <c r="L96">
        <v>0.05</v>
      </c>
      <c r="M96" t="s">
        <v>78</v>
      </c>
      <c r="N96" t="s">
        <v>85</v>
      </c>
      <c r="O96">
        <v>1</v>
      </c>
      <c r="P96" t="s">
        <v>72</v>
      </c>
      <c r="Q96" t="s">
        <v>74</v>
      </c>
    </row>
    <row r="97" spans="1:17" x14ac:dyDescent="0.2">
      <c r="A97" t="s">
        <v>16</v>
      </c>
      <c r="B97" t="s">
        <v>39</v>
      </c>
      <c r="C97" t="s">
        <v>50</v>
      </c>
      <c r="E97" t="s">
        <v>100</v>
      </c>
      <c r="G97">
        <v>207608</v>
      </c>
      <c r="I97">
        <v>2</v>
      </c>
      <c r="J97">
        <v>1</v>
      </c>
      <c r="K97">
        <v>0.1</v>
      </c>
      <c r="L97">
        <v>0.05</v>
      </c>
      <c r="M97" t="s">
        <v>78</v>
      </c>
      <c r="N97" t="s">
        <v>81</v>
      </c>
      <c r="O97">
        <v>5</v>
      </c>
      <c r="P97" t="s">
        <v>72</v>
      </c>
      <c r="Q97" t="s">
        <v>74</v>
      </c>
    </row>
    <row r="98" spans="1:17" x14ac:dyDescent="0.2">
      <c r="A98" t="s">
        <v>16</v>
      </c>
      <c r="B98" t="s">
        <v>39</v>
      </c>
      <c r="C98" t="s">
        <v>50</v>
      </c>
      <c r="E98" t="s">
        <v>100</v>
      </c>
      <c r="G98">
        <v>207608</v>
      </c>
      <c r="I98">
        <v>2</v>
      </c>
      <c r="J98">
        <v>1</v>
      </c>
      <c r="K98">
        <v>0.1</v>
      </c>
      <c r="L98">
        <v>0.05</v>
      </c>
      <c r="M98" t="s">
        <v>78</v>
      </c>
      <c r="N98" s="2" t="s">
        <v>82</v>
      </c>
      <c r="O98">
        <v>8</v>
      </c>
      <c r="P98" t="s">
        <v>72</v>
      </c>
      <c r="Q98" t="s">
        <v>74</v>
      </c>
    </row>
    <row r="99" spans="1:17" x14ac:dyDescent="0.2">
      <c r="A99" t="s">
        <v>16</v>
      </c>
      <c r="B99" t="s">
        <v>39</v>
      </c>
      <c r="C99" t="s">
        <v>50</v>
      </c>
      <c r="E99" t="s">
        <v>100</v>
      </c>
      <c r="G99">
        <v>207608</v>
      </c>
      <c r="I99">
        <v>2</v>
      </c>
      <c r="J99">
        <v>1</v>
      </c>
      <c r="K99">
        <v>0.1</v>
      </c>
      <c r="L99">
        <v>0.05</v>
      </c>
      <c r="M99" t="s">
        <v>78</v>
      </c>
      <c r="N99" s="2" t="s">
        <v>77</v>
      </c>
      <c r="O99">
        <v>16</v>
      </c>
      <c r="P99" t="s">
        <v>72</v>
      </c>
      <c r="Q99" t="s">
        <v>74</v>
      </c>
    </row>
    <row r="100" spans="1:17" x14ac:dyDescent="0.2">
      <c r="A100" t="s">
        <v>16</v>
      </c>
      <c r="B100" t="s">
        <v>39</v>
      </c>
      <c r="C100" t="s">
        <v>50</v>
      </c>
      <c r="E100" t="s">
        <v>100</v>
      </c>
      <c r="G100">
        <v>207608</v>
      </c>
      <c r="I100">
        <v>2</v>
      </c>
      <c r="J100">
        <v>1</v>
      </c>
      <c r="K100">
        <v>0.1</v>
      </c>
      <c r="L100">
        <v>0.05</v>
      </c>
      <c r="M100" t="s">
        <v>78</v>
      </c>
      <c r="N100" s="2" t="s">
        <v>83</v>
      </c>
      <c r="O100">
        <v>54</v>
      </c>
      <c r="P100" t="s">
        <v>72</v>
      </c>
      <c r="Q100" t="s">
        <v>74</v>
      </c>
    </row>
    <row r="101" spans="1:17" x14ac:dyDescent="0.2">
      <c r="A101" t="s">
        <v>16</v>
      </c>
      <c r="B101" t="s">
        <v>39</v>
      </c>
      <c r="C101" t="s">
        <v>50</v>
      </c>
      <c r="E101" t="s">
        <v>100</v>
      </c>
      <c r="G101">
        <v>207608</v>
      </c>
      <c r="I101">
        <v>2</v>
      </c>
      <c r="J101">
        <v>1</v>
      </c>
      <c r="K101">
        <v>0.1</v>
      </c>
      <c r="L101">
        <v>0.05</v>
      </c>
      <c r="M101" t="s">
        <v>78</v>
      </c>
      <c r="N101" s="2" t="s">
        <v>41</v>
      </c>
      <c r="O101">
        <v>45</v>
      </c>
      <c r="P101" t="s">
        <v>72</v>
      </c>
      <c r="Q101" t="s">
        <v>74</v>
      </c>
    </row>
    <row r="102" spans="1:17" x14ac:dyDescent="0.2">
      <c r="A102" t="s">
        <v>16</v>
      </c>
      <c r="B102" t="s">
        <v>39</v>
      </c>
      <c r="C102" t="s">
        <v>50</v>
      </c>
      <c r="E102" t="s">
        <v>100</v>
      </c>
      <c r="G102">
        <v>207608</v>
      </c>
      <c r="I102">
        <v>1</v>
      </c>
      <c r="J102">
        <v>1</v>
      </c>
      <c r="K102">
        <v>0.05</v>
      </c>
      <c r="L102">
        <v>2.5000000000000001E-2</v>
      </c>
      <c r="M102" t="s">
        <v>46</v>
      </c>
      <c r="O102">
        <v>3</v>
      </c>
      <c r="P102" t="s">
        <v>72</v>
      </c>
      <c r="Q102" t="s">
        <v>74</v>
      </c>
    </row>
    <row r="103" spans="1:17" x14ac:dyDescent="0.2">
      <c r="A103" t="s">
        <v>16</v>
      </c>
      <c r="B103" t="s">
        <v>39</v>
      </c>
      <c r="C103" t="s">
        <v>50</v>
      </c>
      <c r="E103" t="s">
        <v>100</v>
      </c>
      <c r="G103">
        <v>207608</v>
      </c>
      <c r="I103">
        <v>1</v>
      </c>
      <c r="J103">
        <v>1</v>
      </c>
      <c r="K103">
        <v>0.05</v>
      </c>
      <c r="L103">
        <v>2.5000000000000001E-2</v>
      </c>
      <c r="M103" t="s">
        <v>69</v>
      </c>
      <c r="N103" t="s">
        <v>33</v>
      </c>
      <c r="O103">
        <v>10</v>
      </c>
      <c r="P103" t="s">
        <v>72</v>
      </c>
      <c r="Q103" t="s">
        <v>74</v>
      </c>
    </row>
    <row r="104" spans="1:17" x14ac:dyDescent="0.2">
      <c r="A104" t="s">
        <v>16</v>
      </c>
      <c r="B104" t="s">
        <v>39</v>
      </c>
      <c r="C104" t="s">
        <v>50</v>
      </c>
      <c r="E104" t="s">
        <v>100</v>
      </c>
      <c r="G104">
        <v>207608</v>
      </c>
      <c r="I104">
        <v>1</v>
      </c>
      <c r="J104">
        <v>1</v>
      </c>
      <c r="K104">
        <v>0.05</v>
      </c>
      <c r="L104">
        <v>2.5000000000000001E-2</v>
      </c>
      <c r="M104" t="s">
        <v>89</v>
      </c>
      <c r="N104" t="s">
        <v>51</v>
      </c>
      <c r="O104">
        <v>1</v>
      </c>
      <c r="P104" t="s">
        <v>72</v>
      </c>
      <c r="Q104" t="s">
        <v>74</v>
      </c>
    </row>
    <row r="105" spans="1:17" x14ac:dyDescent="0.2">
      <c r="A105" t="s">
        <v>16</v>
      </c>
      <c r="B105" t="s">
        <v>39</v>
      </c>
      <c r="C105" t="s">
        <v>50</v>
      </c>
      <c r="E105" t="s">
        <v>100</v>
      </c>
      <c r="G105">
        <v>207608</v>
      </c>
      <c r="I105">
        <v>1</v>
      </c>
      <c r="J105">
        <v>1</v>
      </c>
      <c r="K105">
        <v>0.05</v>
      </c>
      <c r="L105">
        <v>2.5000000000000001E-2</v>
      </c>
      <c r="M105" t="s">
        <v>70</v>
      </c>
      <c r="N105" t="s">
        <v>90</v>
      </c>
      <c r="O105">
        <v>43</v>
      </c>
      <c r="P105" t="s">
        <v>72</v>
      </c>
      <c r="Q105" t="s">
        <v>74</v>
      </c>
    </row>
    <row r="106" spans="1:17" x14ac:dyDescent="0.2">
      <c r="A106" t="s">
        <v>16</v>
      </c>
      <c r="B106" t="s">
        <v>39</v>
      </c>
      <c r="C106" t="s">
        <v>50</v>
      </c>
      <c r="E106" t="s">
        <v>100</v>
      </c>
      <c r="G106">
        <v>207608</v>
      </c>
      <c r="I106">
        <v>1</v>
      </c>
      <c r="J106">
        <v>1</v>
      </c>
      <c r="K106">
        <v>0.05</v>
      </c>
      <c r="L106">
        <v>2.5000000000000001E-2</v>
      </c>
      <c r="M106" t="s">
        <v>70</v>
      </c>
      <c r="N106" t="s">
        <v>91</v>
      </c>
      <c r="O106">
        <v>1</v>
      </c>
      <c r="P106" t="s">
        <v>72</v>
      </c>
      <c r="Q106" t="s">
        <v>74</v>
      </c>
    </row>
    <row r="107" spans="1:17" x14ac:dyDescent="0.2">
      <c r="A107" t="s">
        <v>16</v>
      </c>
      <c r="B107" t="s">
        <v>39</v>
      </c>
      <c r="C107" t="s">
        <v>50</v>
      </c>
      <c r="E107" t="s">
        <v>100</v>
      </c>
      <c r="G107">
        <v>207608</v>
      </c>
      <c r="I107">
        <v>1</v>
      </c>
      <c r="J107">
        <v>1</v>
      </c>
      <c r="K107">
        <v>0.05</v>
      </c>
      <c r="L107">
        <v>2.5000000000000001E-2</v>
      </c>
      <c r="M107" t="s">
        <v>70</v>
      </c>
      <c r="N107" t="s">
        <v>33</v>
      </c>
      <c r="O107">
        <v>7</v>
      </c>
      <c r="P107" t="s">
        <v>72</v>
      </c>
      <c r="Q107" t="s">
        <v>74</v>
      </c>
    </row>
    <row r="108" spans="1:17" x14ac:dyDescent="0.2">
      <c r="A108" t="s">
        <v>16</v>
      </c>
      <c r="B108" t="s">
        <v>39</v>
      </c>
      <c r="C108" t="s">
        <v>50</v>
      </c>
      <c r="E108" t="s">
        <v>100</v>
      </c>
      <c r="G108">
        <v>207608</v>
      </c>
      <c r="I108">
        <v>1</v>
      </c>
      <c r="J108">
        <v>1</v>
      </c>
      <c r="K108">
        <v>0.05</v>
      </c>
      <c r="L108">
        <v>2.5000000000000001E-2</v>
      </c>
      <c r="M108" t="s">
        <v>93</v>
      </c>
      <c r="N108" t="s">
        <v>37</v>
      </c>
      <c r="O108">
        <v>1</v>
      </c>
      <c r="P108" t="s">
        <v>72</v>
      </c>
      <c r="Q108" t="s">
        <v>74</v>
      </c>
    </row>
    <row r="109" spans="1:17" x14ac:dyDescent="0.2">
      <c r="A109" t="s">
        <v>16</v>
      </c>
      <c r="B109" t="s">
        <v>39</v>
      </c>
      <c r="C109" t="s">
        <v>50</v>
      </c>
      <c r="E109" t="s">
        <v>100</v>
      </c>
      <c r="G109">
        <v>207608</v>
      </c>
      <c r="I109">
        <v>1</v>
      </c>
      <c r="J109">
        <v>1</v>
      </c>
      <c r="K109">
        <v>0.05</v>
      </c>
      <c r="L109">
        <v>2.5000000000000001E-2</v>
      </c>
      <c r="M109" t="s">
        <v>94</v>
      </c>
      <c r="N109" t="s">
        <v>76</v>
      </c>
      <c r="O109">
        <v>9</v>
      </c>
      <c r="P109" t="s">
        <v>72</v>
      </c>
      <c r="Q109" t="s">
        <v>74</v>
      </c>
    </row>
    <row r="110" spans="1:17" x14ac:dyDescent="0.2">
      <c r="A110" t="s">
        <v>16</v>
      </c>
      <c r="B110" t="s">
        <v>39</v>
      </c>
      <c r="C110" t="s">
        <v>50</v>
      </c>
      <c r="E110" t="s">
        <v>100</v>
      </c>
      <c r="G110">
        <v>207608</v>
      </c>
      <c r="I110">
        <v>1</v>
      </c>
      <c r="J110">
        <v>1</v>
      </c>
      <c r="K110">
        <v>0.05</v>
      </c>
      <c r="L110">
        <v>2.5000000000000001E-2</v>
      </c>
      <c r="M110" t="s">
        <v>28</v>
      </c>
      <c r="O110">
        <v>10</v>
      </c>
      <c r="P110" t="s">
        <v>72</v>
      </c>
      <c r="Q110" t="s">
        <v>74</v>
      </c>
    </row>
    <row r="111" spans="1:17" x14ac:dyDescent="0.2">
      <c r="A111" t="s">
        <v>16</v>
      </c>
      <c r="B111" t="s">
        <v>39</v>
      </c>
      <c r="C111" t="s">
        <v>50</v>
      </c>
      <c r="E111" t="s">
        <v>100</v>
      </c>
      <c r="G111">
        <v>207608</v>
      </c>
      <c r="I111">
        <v>1</v>
      </c>
      <c r="J111">
        <v>1</v>
      </c>
      <c r="K111">
        <v>0.05</v>
      </c>
      <c r="L111">
        <v>2.5000000000000001E-2</v>
      </c>
      <c r="M111" t="s">
        <v>42</v>
      </c>
      <c r="N111" t="s">
        <v>33</v>
      </c>
      <c r="O111">
        <v>13</v>
      </c>
      <c r="P111" t="s">
        <v>72</v>
      </c>
      <c r="Q111" t="s">
        <v>74</v>
      </c>
    </row>
    <row r="112" spans="1:17" x14ac:dyDescent="0.2">
      <c r="A112" t="s">
        <v>16</v>
      </c>
      <c r="B112" t="s">
        <v>39</v>
      </c>
      <c r="C112" t="s">
        <v>50</v>
      </c>
      <c r="E112" t="s">
        <v>100</v>
      </c>
      <c r="G112">
        <v>207608</v>
      </c>
      <c r="I112">
        <v>1</v>
      </c>
      <c r="J112">
        <v>1</v>
      </c>
      <c r="K112">
        <v>0.05</v>
      </c>
      <c r="L112">
        <v>2.5000000000000001E-2</v>
      </c>
      <c r="M112" t="s">
        <v>31</v>
      </c>
      <c r="O112">
        <v>6</v>
      </c>
      <c r="P112" t="s">
        <v>72</v>
      </c>
      <c r="Q112" t="s">
        <v>74</v>
      </c>
    </row>
    <row r="113" spans="1:17" x14ac:dyDescent="0.2">
      <c r="A113" t="s">
        <v>16</v>
      </c>
      <c r="B113" t="s">
        <v>39</v>
      </c>
      <c r="C113" t="s">
        <v>50</v>
      </c>
      <c r="E113" t="s">
        <v>100</v>
      </c>
      <c r="G113">
        <v>207608</v>
      </c>
      <c r="I113">
        <v>1</v>
      </c>
      <c r="J113">
        <v>1</v>
      </c>
      <c r="K113">
        <v>0.05</v>
      </c>
      <c r="L113">
        <v>2.5000000000000001E-2</v>
      </c>
      <c r="M113" t="s">
        <v>52</v>
      </c>
      <c r="O113">
        <v>1</v>
      </c>
      <c r="P113" t="s">
        <v>72</v>
      </c>
      <c r="Q113" t="s">
        <v>74</v>
      </c>
    </row>
    <row r="114" spans="1:17" x14ac:dyDescent="0.2">
      <c r="A114" t="s">
        <v>16</v>
      </c>
      <c r="B114" t="s">
        <v>39</v>
      </c>
      <c r="C114" t="s">
        <v>50</v>
      </c>
      <c r="E114" t="s">
        <v>100</v>
      </c>
      <c r="G114">
        <v>207608</v>
      </c>
      <c r="I114">
        <v>1</v>
      </c>
      <c r="J114">
        <v>1</v>
      </c>
      <c r="K114">
        <v>0.05</v>
      </c>
      <c r="L114">
        <v>2.5000000000000001E-2</v>
      </c>
      <c r="M114" t="s">
        <v>20</v>
      </c>
      <c r="O114">
        <v>1</v>
      </c>
      <c r="P114" t="s">
        <v>72</v>
      </c>
      <c r="Q114" t="s">
        <v>74</v>
      </c>
    </row>
    <row r="115" spans="1:17" x14ac:dyDescent="0.2">
      <c r="A115" t="s">
        <v>16</v>
      </c>
      <c r="B115" t="s">
        <v>39</v>
      </c>
      <c r="C115" t="s">
        <v>50</v>
      </c>
      <c r="E115" t="s">
        <v>100</v>
      </c>
      <c r="G115">
        <v>207608</v>
      </c>
      <c r="I115">
        <v>1</v>
      </c>
      <c r="J115">
        <v>1</v>
      </c>
      <c r="K115">
        <v>0.05</v>
      </c>
      <c r="L115">
        <v>2.5000000000000001E-2</v>
      </c>
      <c r="M115" t="s">
        <v>45</v>
      </c>
      <c r="O115">
        <v>1</v>
      </c>
      <c r="P115" t="s">
        <v>72</v>
      </c>
      <c r="Q115" t="s">
        <v>74</v>
      </c>
    </row>
    <row r="116" spans="1:17" x14ac:dyDescent="0.2">
      <c r="A116" t="s">
        <v>16</v>
      </c>
      <c r="B116" t="s">
        <v>39</v>
      </c>
      <c r="C116" t="s">
        <v>50</v>
      </c>
      <c r="E116" t="s">
        <v>100</v>
      </c>
      <c r="G116">
        <v>207608</v>
      </c>
      <c r="I116">
        <v>1</v>
      </c>
      <c r="J116">
        <v>1</v>
      </c>
      <c r="K116">
        <v>0.05</v>
      </c>
      <c r="L116">
        <v>2.5000000000000001E-2</v>
      </c>
      <c r="M116" t="s">
        <v>24</v>
      </c>
      <c r="O116">
        <v>5</v>
      </c>
      <c r="P116" t="s">
        <v>72</v>
      </c>
      <c r="Q116" t="s">
        <v>74</v>
      </c>
    </row>
    <row r="117" spans="1:17" x14ac:dyDescent="0.2">
      <c r="A117" t="s">
        <v>16</v>
      </c>
      <c r="B117" t="s">
        <v>39</v>
      </c>
      <c r="C117" t="s">
        <v>50</v>
      </c>
      <c r="E117" t="s">
        <v>100</v>
      </c>
      <c r="G117">
        <v>207608</v>
      </c>
      <c r="I117">
        <v>1</v>
      </c>
      <c r="J117">
        <v>1</v>
      </c>
      <c r="K117">
        <v>0.05</v>
      </c>
      <c r="L117">
        <v>2.5000000000000001E-2</v>
      </c>
      <c r="M117" t="s">
        <v>23</v>
      </c>
      <c r="O117">
        <v>44</v>
      </c>
      <c r="P117" t="s">
        <v>72</v>
      </c>
      <c r="Q117" t="s">
        <v>74</v>
      </c>
    </row>
    <row r="118" spans="1:17" x14ac:dyDescent="0.2">
      <c r="A118" t="s">
        <v>16</v>
      </c>
      <c r="B118" t="s">
        <v>39</v>
      </c>
      <c r="C118" t="s">
        <v>50</v>
      </c>
      <c r="E118" t="s">
        <v>100</v>
      </c>
      <c r="G118">
        <v>207608</v>
      </c>
      <c r="I118">
        <v>1</v>
      </c>
      <c r="J118">
        <v>1</v>
      </c>
      <c r="K118">
        <v>0.05</v>
      </c>
      <c r="L118">
        <v>2.5000000000000001E-2</v>
      </c>
      <c r="M118" t="s">
        <v>25</v>
      </c>
      <c r="O118">
        <v>2</v>
      </c>
      <c r="P118" t="s">
        <v>72</v>
      </c>
      <c r="Q118" t="s">
        <v>74</v>
      </c>
    </row>
    <row r="119" spans="1:17" x14ac:dyDescent="0.2">
      <c r="A119" t="s">
        <v>16</v>
      </c>
      <c r="B119" t="s">
        <v>39</v>
      </c>
      <c r="C119" t="s">
        <v>50</v>
      </c>
      <c r="E119" t="s">
        <v>100</v>
      </c>
      <c r="G119">
        <v>207608</v>
      </c>
      <c r="I119">
        <v>1</v>
      </c>
      <c r="J119">
        <v>1</v>
      </c>
      <c r="K119">
        <v>0.05</v>
      </c>
      <c r="L119">
        <v>2.5000000000000001E-2</v>
      </c>
      <c r="M119" t="s">
        <v>47</v>
      </c>
      <c r="O119">
        <v>2</v>
      </c>
      <c r="P119" t="s">
        <v>72</v>
      </c>
      <c r="Q119" t="s">
        <v>74</v>
      </c>
    </row>
    <row r="120" spans="1:17" x14ac:dyDescent="0.2">
      <c r="A120" t="s">
        <v>16</v>
      </c>
      <c r="B120" t="s">
        <v>39</v>
      </c>
      <c r="C120" t="s">
        <v>50</v>
      </c>
      <c r="E120" t="s">
        <v>100</v>
      </c>
      <c r="G120">
        <v>207608</v>
      </c>
      <c r="I120">
        <v>1</v>
      </c>
      <c r="J120">
        <v>1</v>
      </c>
      <c r="K120">
        <v>0.05</v>
      </c>
      <c r="L120">
        <v>2.5000000000000001E-2</v>
      </c>
      <c r="M120" t="s">
        <v>27</v>
      </c>
      <c r="O120">
        <v>38</v>
      </c>
      <c r="P120" t="s">
        <v>72</v>
      </c>
      <c r="Q120" t="s">
        <v>74</v>
      </c>
    </row>
    <row r="121" spans="1:17" x14ac:dyDescent="0.2">
      <c r="A121" t="s">
        <v>16</v>
      </c>
      <c r="B121" t="s">
        <v>39</v>
      </c>
      <c r="C121" t="s">
        <v>50</v>
      </c>
      <c r="E121" t="s">
        <v>100</v>
      </c>
      <c r="G121">
        <v>207608</v>
      </c>
      <c r="I121">
        <v>1</v>
      </c>
      <c r="J121">
        <v>1</v>
      </c>
      <c r="K121">
        <v>0.05</v>
      </c>
      <c r="L121">
        <v>2.5000000000000001E-2</v>
      </c>
      <c r="M121" t="s">
        <v>19</v>
      </c>
      <c r="O121">
        <v>44</v>
      </c>
      <c r="P121" t="s">
        <v>72</v>
      </c>
      <c r="Q121" t="s">
        <v>74</v>
      </c>
    </row>
    <row r="122" spans="1:17" x14ac:dyDescent="0.2">
      <c r="A122" t="s">
        <v>16</v>
      </c>
      <c r="B122" t="s">
        <v>39</v>
      </c>
      <c r="C122" t="s">
        <v>50</v>
      </c>
      <c r="E122" t="s">
        <v>100</v>
      </c>
      <c r="G122">
        <v>207608</v>
      </c>
      <c r="I122">
        <v>1</v>
      </c>
      <c r="J122">
        <v>1</v>
      </c>
      <c r="K122">
        <v>0.05</v>
      </c>
      <c r="L122">
        <v>2.5000000000000001E-2</v>
      </c>
      <c r="M122" t="s">
        <v>44</v>
      </c>
      <c r="O122">
        <v>2</v>
      </c>
      <c r="P122" t="s">
        <v>72</v>
      </c>
      <c r="Q122" t="s">
        <v>74</v>
      </c>
    </row>
    <row r="123" spans="1:17" x14ac:dyDescent="0.2">
      <c r="A123" t="s">
        <v>16</v>
      </c>
      <c r="B123" t="s">
        <v>39</v>
      </c>
      <c r="C123" t="s">
        <v>50</v>
      </c>
      <c r="E123" t="s">
        <v>100</v>
      </c>
      <c r="G123">
        <v>207608</v>
      </c>
      <c r="I123">
        <v>1</v>
      </c>
      <c r="J123">
        <v>0</v>
      </c>
      <c r="K123">
        <v>1</v>
      </c>
      <c r="L123">
        <v>1</v>
      </c>
      <c r="M123" t="s">
        <v>43</v>
      </c>
      <c r="O123">
        <v>1</v>
      </c>
      <c r="P123" t="s">
        <v>73</v>
      </c>
      <c r="Q123" t="s">
        <v>74</v>
      </c>
    </row>
    <row r="124" spans="1:17" x14ac:dyDescent="0.2">
      <c r="A124" t="s">
        <v>16</v>
      </c>
      <c r="B124" t="s">
        <v>39</v>
      </c>
      <c r="C124" t="s">
        <v>50</v>
      </c>
      <c r="E124" t="s">
        <v>100</v>
      </c>
      <c r="G124">
        <v>207608</v>
      </c>
      <c r="I124">
        <v>1</v>
      </c>
      <c r="J124">
        <v>0</v>
      </c>
      <c r="K124">
        <v>1</v>
      </c>
      <c r="L124">
        <v>1</v>
      </c>
      <c r="M124" t="s">
        <v>43</v>
      </c>
      <c r="O124">
        <v>8.9200000000000002E-2</v>
      </c>
      <c r="P124" t="s">
        <v>73</v>
      </c>
      <c r="Q124" t="s">
        <v>75</v>
      </c>
    </row>
    <row r="125" spans="1:17" x14ac:dyDescent="0.2">
      <c r="A125" t="s">
        <v>16</v>
      </c>
      <c r="B125" t="s">
        <v>39</v>
      </c>
      <c r="C125" t="s">
        <v>50</v>
      </c>
      <c r="E125" t="s">
        <v>100</v>
      </c>
      <c r="G125">
        <v>207608</v>
      </c>
      <c r="I125">
        <v>1</v>
      </c>
      <c r="J125">
        <v>0</v>
      </c>
      <c r="K125">
        <v>1</v>
      </c>
      <c r="L125">
        <v>1</v>
      </c>
      <c r="M125" t="s">
        <v>95</v>
      </c>
      <c r="O125">
        <v>8.9200000000000002E-2</v>
      </c>
      <c r="P125" t="s">
        <v>73</v>
      </c>
      <c r="Q125" t="s">
        <v>75</v>
      </c>
    </row>
    <row r="126" spans="1:17" x14ac:dyDescent="0.2">
      <c r="A126" t="s">
        <v>16</v>
      </c>
      <c r="B126" t="s">
        <v>39</v>
      </c>
      <c r="C126" t="s">
        <v>50</v>
      </c>
      <c r="E126" t="s">
        <v>100</v>
      </c>
      <c r="G126">
        <v>207608</v>
      </c>
      <c r="I126">
        <v>1</v>
      </c>
      <c r="J126">
        <v>0</v>
      </c>
      <c r="K126">
        <v>1</v>
      </c>
      <c r="L126">
        <v>1</v>
      </c>
      <c r="M126" t="s">
        <v>95</v>
      </c>
      <c r="O126">
        <f>1.8773-0.2064</f>
        <v>1.6709000000000001</v>
      </c>
      <c r="P126" t="s">
        <v>72</v>
      </c>
      <c r="Q126" t="s">
        <v>75</v>
      </c>
    </row>
    <row r="127" spans="1:17" x14ac:dyDescent="0.2">
      <c r="A127" t="s">
        <v>16</v>
      </c>
      <c r="B127" t="s">
        <v>39</v>
      </c>
      <c r="C127" t="s">
        <v>50</v>
      </c>
      <c r="E127" t="s">
        <v>100</v>
      </c>
      <c r="G127">
        <v>207608</v>
      </c>
      <c r="I127">
        <v>1</v>
      </c>
      <c r="J127">
        <v>0</v>
      </c>
      <c r="K127">
        <v>1</v>
      </c>
      <c r="L127">
        <v>1</v>
      </c>
      <c r="M127" t="s">
        <v>96</v>
      </c>
      <c r="O127">
        <f>SUM(O125:O126)</f>
        <v>1.7601</v>
      </c>
      <c r="P127" t="s">
        <v>98</v>
      </c>
      <c r="Q127" t="s">
        <v>75</v>
      </c>
    </row>
    <row r="128" spans="1:17" x14ac:dyDescent="0.2">
      <c r="A128" t="s">
        <v>16</v>
      </c>
      <c r="B128" t="s">
        <v>39</v>
      </c>
      <c r="C128" t="s">
        <v>50</v>
      </c>
      <c r="E128" t="s">
        <v>100</v>
      </c>
      <c r="G128">
        <v>207608</v>
      </c>
      <c r="I128">
        <v>1</v>
      </c>
      <c r="J128">
        <v>1</v>
      </c>
      <c r="K128">
        <v>1</v>
      </c>
      <c r="L128">
        <v>0.5</v>
      </c>
      <c r="M128" t="s">
        <v>97</v>
      </c>
      <c r="O128">
        <f>0.2033-0.0965</f>
        <v>0.10680000000000001</v>
      </c>
      <c r="P128" t="s">
        <v>72</v>
      </c>
      <c r="Q128" t="s">
        <v>75</v>
      </c>
    </row>
    <row r="129" spans="1:17" x14ac:dyDescent="0.2">
      <c r="A129" t="s">
        <v>16</v>
      </c>
      <c r="B129" t="s">
        <v>53</v>
      </c>
      <c r="C129" t="s">
        <v>54</v>
      </c>
      <c r="E129" t="s">
        <v>100</v>
      </c>
      <c r="G129">
        <v>207607</v>
      </c>
      <c r="I129">
        <v>1</v>
      </c>
      <c r="J129">
        <v>1</v>
      </c>
      <c r="K129">
        <v>0.02</v>
      </c>
      <c r="L129">
        <v>0.01</v>
      </c>
      <c r="M129" t="s">
        <v>79</v>
      </c>
      <c r="N129" t="s">
        <v>29</v>
      </c>
      <c r="O129">
        <v>3</v>
      </c>
      <c r="P129" t="s">
        <v>72</v>
      </c>
      <c r="Q129" t="s">
        <v>74</v>
      </c>
    </row>
    <row r="130" spans="1:17" x14ac:dyDescent="0.2">
      <c r="A130" t="s">
        <v>16</v>
      </c>
      <c r="B130" t="s">
        <v>53</v>
      </c>
      <c r="C130" t="s">
        <v>54</v>
      </c>
      <c r="E130" t="s">
        <v>100</v>
      </c>
      <c r="G130">
        <v>207607</v>
      </c>
      <c r="I130">
        <v>1</v>
      </c>
      <c r="J130">
        <v>1</v>
      </c>
      <c r="K130">
        <v>0.02</v>
      </c>
      <c r="L130">
        <v>0.01</v>
      </c>
      <c r="M130" t="s">
        <v>80</v>
      </c>
      <c r="N130" t="s">
        <v>37</v>
      </c>
      <c r="O130">
        <v>1</v>
      </c>
      <c r="P130" t="s">
        <v>72</v>
      </c>
      <c r="Q130" t="s">
        <v>74</v>
      </c>
    </row>
    <row r="131" spans="1:17" x14ac:dyDescent="0.2">
      <c r="A131" t="s">
        <v>16</v>
      </c>
      <c r="B131" t="s">
        <v>53</v>
      </c>
      <c r="C131" t="s">
        <v>54</v>
      </c>
      <c r="E131" t="s">
        <v>100</v>
      </c>
      <c r="G131">
        <v>207607</v>
      </c>
      <c r="I131">
        <v>1</v>
      </c>
      <c r="J131">
        <v>1</v>
      </c>
      <c r="K131">
        <v>0.02</v>
      </c>
      <c r="L131">
        <v>0.01</v>
      </c>
      <c r="M131" t="s">
        <v>78</v>
      </c>
      <c r="N131" t="s">
        <v>85</v>
      </c>
      <c r="O131">
        <v>4</v>
      </c>
      <c r="P131" t="s">
        <v>72</v>
      </c>
      <c r="Q131" t="s">
        <v>74</v>
      </c>
    </row>
    <row r="132" spans="1:17" x14ac:dyDescent="0.2">
      <c r="A132" t="s">
        <v>16</v>
      </c>
      <c r="B132" t="s">
        <v>53</v>
      </c>
      <c r="C132" t="s">
        <v>54</v>
      </c>
      <c r="E132" t="s">
        <v>100</v>
      </c>
      <c r="G132">
        <v>207607</v>
      </c>
      <c r="I132">
        <v>1</v>
      </c>
      <c r="J132">
        <v>1</v>
      </c>
      <c r="K132">
        <v>0.02</v>
      </c>
      <c r="L132">
        <v>0.01</v>
      </c>
      <c r="M132" t="s">
        <v>78</v>
      </c>
      <c r="N132" t="s">
        <v>81</v>
      </c>
      <c r="O132">
        <v>1</v>
      </c>
      <c r="P132" t="s">
        <v>72</v>
      </c>
      <c r="Q132" t="s">
        <v>74</v>
      </c>
    </row>
    <row r="133" spans="1:17" x14ac:dyDescent="0.2">
      <c r="A133" t="s">
        <v>16</v>
      </c>
      <c r="B133" t="s">
        <v>53</v>
      </c>
      <c r="C133" t="s">
        <v>54</v>
      </c>
      <c r="E133" t="s">
        <v>100</v>
      </c>
      <c r="G133">
        <v>207607</v>
      </c>
      <c r="I133">
        <v>1</v>
      </c>
      <c r="J133">
        <v>1</v>
      </c>
      <c r="K133">
        <v>0.02</v>
      </c>
      <c r="L133">
        <v>0.01</v>
      </c>
      <c r="M133" t="s">
        <v>78</v>
      </c>
      <c r="N133" s="2" t="s">
        <v>77</v>
      </c>
      <c r="O133">
        <v>13</v>
      </c>
      <c r="P133" t="s">
        <v>72</v>
      </c>
      <c r="Q133" t="s">
        <v>74</v>
      </c>
    </row>
    <row r="134" spans="1:17" x14ac:dyDescent="0.2">
      <c r="A134" t="s">
        <v>16</v>
      </c>
      <c r="B134" t="s">
        <v>53</v>
      </c>
      <c r="C134" t="s">
        <v>54</v>
      </c>
      <c r="E134" t="s">
        <v>100</v>
      </c>
      <c r="G134">
        <v>207607</v>
      </c>
      <c r="I134">
        <v>1</v>
      </c>
      <c r="J134">
        <v>1</v>
      </c>
      <c r="K134">
        <v>0.02</v>
      </c>
      <c r="L134">
        <v>0.01</v>
      </c>
      <c r="M134" t="s">
        <v>78</v>
      </c>
      <c r="N134" s="2" t="s">
        <v>83</v>
      </c>
      <c r="O134">
        <v>33</v>
      </c>
      <c r="P134" t="s">
        <v>72</v>
      </c>
      <c r="Q134" t="s">
        <v>74</v>
      </c>
    </row>
    <row r="135" spans="1:17" x14ac:dyDescent="0.2">
      <c r="A135" t="s">
        <v>16</v>
      </c>
      <c r="B135" t="s">
        <v>53</v>
      </c>
      <c r="C135" t="s">
        <v>54</v>
      </c>
      <c r="E135" t="s">
        <v>100</v>
      </c>
      <c r="G135">
        <v>207607</v>
      </c>
      <c r="I135">
        <v>1</v>
      </c>
      <c r="J135">
        <v>1</v>
      </c>
      <c r="K135">
        <v>0.02</v>
      </c>
      <c r="L135">
        <v>0.01</v>
      </c>
      <c r="M135" t="s">
        <v>78</v>
      </c>
      <c r="N135" s="2" t="s">
        <v>84</v>
      </c>
      <c r="O135">
        <v>4</v>
      </c>
      <c r="P135" t="s">
        <v>72</v>
      </c>
      <c r="Q135" t="s">
        <v>74</v>
      </c>
    </row>
    <row r="136" spans="1:17" x14ac:dyDescent="0.2">
      <c r="A136" t="s">
        <v>16</v>
      </c>
      <c r="B136" t="s">
        <v>53</v>
      </c>
      <c r="C136" t="s">
        <v>54</v>
      </c>
      <c r="E136" t="s">
        <v>100</v>
      </c>
      <c r="G136">
        <v>207607</v>
      </c>
      <c r="I136">
        <v>1</v>
      </c>
      <c r="J136">
        <v>1</v>
      </c>
      <c r="K136">
        <v>0.02</v>
      </c>
      <c r="L136">
        <v>0.01</v>
      </c>
      <c r="M136" t="s">
        <v>78</v>
      </c>
      <c r="N136" s="2" t="s">
        <v>41</v>
      </c>
      <c r="O136">
        <v>37</v>
      </c>
      <c r="P136" t="s">
        <v>72</v>
      </c>
      <c r="Q136" t="s">
        <v>74</v>
      </c>
    </row>
    <row r="137" spans="1:17" x14ac:dyDescent="0.2">
      <c r="A137" t="s">
        <v>16</v>
      </c>
      <c r="B137" t="s">
        <v>53</v>
      </c>
      <c r="C137" t="s">
        <v>54</v>
      </c>
      <c r="E137" t="s">
        <v>100</v>
      </c>
      <c r="G137">
        <v>207607</v>
      </c>
      <c r="I137">
        <v>1</v>
      </c>
      <c r="J137">
        <v>1</v>
      </c>
      <c r="K137">
        <v>0.02</v>
      </c>
      <c r="L137">
        <v>0.01</v>
      </c>
      <c r="M137" t="s">
        <v>34</v>
      </c>
      <c r="N137" s="2" t="s">
        <v>83</v>
      </c>
      <c r="O137">
        <v>1</v>
      </c>
      <c r="P137" t="s">
        <v>72</v>
      </c>
      <c r="Q137" t="s">
        <v>74</v>
      </c>
    </row>
    <row r="138" spans="1:17" x14ac:dyDescent="0.2">
      <c r="A138" t="s">
        <v>16</v>
      </c>
      <c r="B138" t="s">
        <v>53</v>
      </c>
      <c r="C138" t="s">
        <v>54</v>
      </c>
      <c r="E138" t="s">
        <v>100</v>
      </c>
      <c r="G138">
        <v>207607</v>
      </c>
      <c r="I138">
        <v>1</v>
      </c>
      <c r="J138">
        <v>1</v>
      </c>
      <c r="K138">
        <v>0.02</v>
      </c>
      <c r="L138">
        <v>0.01</v>
      </c>
      <c r="M138" t="s">
        <v>86</v>
      </c>
      <c r="N138" s="2" t="s">
        <v>83</v>
      </c>
      <c r="O138">
        <v>10</v>
      </c>
      <c r="P138" t="s">
        <v>72</v>
      </c>
      <c r="Q138" t="s">
        <v>74</v>
      </c>
    </row>
    <row r="139" spans="1:17" x14ac:dyDescent="0.2">
      <c r="A139" t="s">
        <v>16</v>
      </c>
      <c r="B139" t="s">
        <v>53</v>
      </c>
      <c r="C139" t="s">
        <v>54</v>
      </c>
      <c r="E139" t="s">
        <v>100</v>
      </c>
      <c r="G139">
        <v>207607</v>
      </c>
      <c r="I139">
        <v>1</v>
      </c>
      <c r="J139">
        <v>1</v>
      </c>
      <c r="K139">
        <v>0.02</v>
      </c>
      <c r="L139">
        <v>0.01</v>
      </c>
      <c r="M139" t="s">
        <v>86</v>
      </c>
      <c r="N139" s="2" t="s">
        <v>41</v>
      </c>
      <c r="O139">
        <v>12</v>
      </c>
      <c r="P139" t="s">
        <v>72</v>
      </c>
      <c r="Q139" t="s">
        <v>74</v>
      </c>
    </row>
    <row r="140" spans="1:17" x14ac:dyDescent="0.2">
      <c r="A140" t="s">
        <v>16</v>
      </c>
      <c r="B140" t="s">
        <v>53</v>
      </c>
      <c r="C140" t="s">
        <v>54</v>
      </c>
      <c r="E140" t="s">
        <v>100</v>
      </c>
      <c r="G140">
        <v>207607</v>
      </c>
      <c r="I140">
        <v>1</v>
      </c>
      <c r="J140">
        <v>1</v>
      </c>
      <c r="K140">
        <v>0.02</v>
      </c>
      <c r="L140">
        <v>0.01</v>
      </c>
      <c r="M140" t="s">
        <v>34</v>
      </c>
      <c r="N140" t="s">
        <v>41</v>
      </c>
      <c r="O140">
        <v>2</v>
      </c>
      <c r="P140" t="s">
        <v>72</v>
      </c>
      <c r="Q140" t="s">
        <v>74</v>
      </c>
    </row>
    <row r="141" spans="1:17" x14ac:dyDescent="0.2">
      <c r="A141" t="s">
        <v>16</v>
      </c>
      <c r="B141" t="s">
        <v>53</v>
      </c>
      <c r="C141" t="s">
        <v>54</v>
      </c>
      <c r="E141" t="s">
        <v>100</v>
      </c>
      <c r="G141">
        <v>207607</v>
      </c>
      <c r="I141">
        <v>1</v>
      </c>
      <c r="J141">
        <v>1</v>
      </c>
      <c r="K141">
        <v>0.02</v>
      </c>
      <c r="L141">
        <v>0.01</v>
      </c>
      <c r="M141" t="s">
        <v>46</v>
      </c>
      <c r="O141">
        <v>1</v>
      </c>
      <c r="P141" t="s">
        <v>72</v>
      </c>
      <c r="Q141" t="s">
        <v>74</v>
      </c>
    </row>
    <row r="142" spans="1:17" x14ac:dyDescent="0.2">
      <c r="A142" t="s">
        <v>16</v>
      </c>
      <c r="B142" t="s">
        <v>53</v>
      </c>
      <c r="C142" t="s">
        <v>54</v>
      </c>
      <c r="E142" t="s">
        <v>100</v>
      </c>
      <c r="G142">
        <v>207607</v>
      </c>
      <c r="I142">
        <v>1</v>
      </c>
      <c r="J142">
        <v>1</v>
      </c>
      <c r="K142">
        <v>0.02</v>
      </c>
      <c r="L142">
        <v>0.01</v>
      </c>
      <c r="M142" t="s">
        <v>57</v>
      </c>
      <c r="N142" t="s">
        <v>58</v>
      </c>
      <c r="O142">
        <v>1</v>
      </c>
      <c r="P142" t="s">
        <v>72</v>
      </c>
      <c r="Q142" t="s">
        <v>74</v>
      </c>
    </row>
    <row r="143" spans="1:17" x14ac:dyDescent="0.2">
      <c r="A143" t="s">
        <v>16</v>
      </c>
      <c r="B143" t="s">
        <v>53</v>
      </c>
      <c r="C143" t="s">
        <v>54</v>
      </c>
      <c r="E143" t="s">
        <v>100</v>
      </c>
      <c r="G143">
        <v>207607</v>
      </c>
      <c r="I143">
        <v>1</v>
      </c>
      <c r="J143">
        <v>1</v>
      </c>
      <c r="K143">
        <v>0.02</v>
      </c>
      <c r="L143">
        <v>0.01</v>
      </c>
      <c r="M143" t="s">
        <v>70</v>
      </c>
      <c r="N143" t="s">
        <v>90</v>
      </c>
      <c r="O143">
        <v>34</v>
      </c>
      <c r="P143" t="s">
        <v>72</v>
      </c>
      <c r="Q143" t="s">
        <v>74</v>
      </c>
    </row>
    <row r="144" spans="1:17" x14ac:dyDescent="0.2">
      <c r="A144" t="s">
        <v>16</v>
      </c>
      <c r="B144" t="s">
        <v>53</v>
      </c>
      <c r="C144" t="s">
        <v>54</v>
      </c>
      <c r="E144" t="s">
        <v>100</v>
      </c>
      <c r="G144">
        <v>207607</v>
      </c>
      <c r="I144">
        <v>1</v>
      </c>
      <c r="J144">
        <v>1</v>
      </c>
      <c r="K144">
        <v>0.02</v>
      </c>
      <c r="L144">
        <v>0.01</v>
      </c>
      <c r="M144" t="s">
        <v>70</v>
      </c>
      <c r="N144" t="s">
        <v>91</v>
      </c>
      <c r="O144">
        <v>3</v>
      </c>
      <c r="P144" t="s">
        <v>72</v>
      </c>
      <c r="Q144" t="s">
        <v>74</v>
      </c>
    </row>
    <row r="145" spans="1:17" x14ac:dyDescent="0.2">
      <c r="A145" t="s">
        <v>16</v>
      </c>
      <c r="B145" t="s">
        <v>53</v>
      </c>
      <c r="C145" t="s">
        <v>54</v>
      </c>
      <c r="E145" t="s">
        <v>100</v>
      </c>
      <c r="G145">
        <v>207607</v>
      </c>
      <c r="I145">
        <v>1</v>
      </c>
      <c r="J145">
        <v>1</v>
      </c>
      <c r="K145">
        <v>0.02</v>
      </c>
      <c r="L145">
        <v>0.01</v>
      </c>
      <c r="M145" t="s">
        <v>70</v>
      </c>
      <c r="N145" t="s">
        <v>33</v>
      </c>
      <c r="O145">
        <v>3</v>
      </c>
      <c r="P145" t="s">
        <v>72</v>
      </c>
      <c r="Q145" t="s">
        <v>74</v>
      </c>
    </row>
    <row r="146" spans="1:17" x14ac:dyDescent="0.2">
      <c r="A146" t="s">
        <v>16</v>
      </c>
      <c r="B146" t="s">
        <v>53</v>
      </c>
      <c r="C146" t="s">
        <v>54</v>
      </c>
      <c r="E146" t="s">
        <v>100</v>
      </c>
      <c r="G146">
        <v>207607</v>
      </c>
      <c r="I146">
        <v>1</v>
      </c>
      <c r="J146">
        <v>1</v>
      </c>
      <c r="K146">
        <v>0.02</v>
      </c>
      <c r="L146">
        <v>0.01</v>
      </c>
      <c r="M146" t="s">
        <v>94</v>
      </c>
      <c r="N146" t="s">
        <v>91</v>
      </c>
      <c r="O146">
        <v>1</v>
      </c>
      <c r="P146" t="s">
        <v>72</v>
      </c>
      <c r="Q146" t="s">
        <v>74</v>
      </c>
    </row>
    <row r="147" spans="1:17" x14ac:dyDescent="0.2">
      <c r="A147" t="s">
        <v>16</v>
      </c>
      <c r="B147" t="s">
        <v>53</v>
      </c>
      <c r="C147" t="s">
        <v>54</v>
      </c>
      <c r="E147" t="s">
        <v>100</v>
      </c>
      <c r="G147">
        <v>207607</v>
      </c>
      <c r="I147">
        <v>1</v>
      </c>
      <c r="J147">
        <v>1</v>
      </c>
      <c r="K147">
        <v>0.02</v>
      </c>
      <c r="L147">
        <v>0.01</v>
      </c>
      <c r="M147" t="s">
        <v>94</v>
      </c>
      <c r="N147" t="s">
        <v>92</v>
      </c>
      <c r="O147">
        <v>2</v>
      </c>
      <c r="P147" t="s">
        <v>72</v>
      </c>
      <c r="Q147" t="s">
        <v>74</v>
      </c>
    </row>
    <row r="148" spans="1:17" x14ac:dyDescent="0.2">
      <c r="A148" t="s">
        <v>16</v>
      </c>
      <c r="B148" t="s">
        <v>53</v>
      </c>
      <c r="C148" t="s">
        <v>54</v>
      </c>
      <c r="E148" t="s">
        <v>100</v>
      </c>
      <c r="G148">
        <v>207607</v>
      </c>
      <c r="I148">
        <v>1</v>
      </c>
      <c r="J148">
        <v>1</v>
      </c>
      <c r="K148">
        <v>0.02</v>
      </c>
      <c r="L148">
        <v>0.01</v>
      </c>
      <c r="M148" t="s">
        <v>94</v>
      </c>
      <c r="N148" t="s">
        <v>29</v>
      </c>
      <c r="O148">
        <v>5</v>
      </c>
      <c r="P148" t="s">
        <v>72</v>
      </c>
      <c r="Q148" t="s">
        <v>74</v>
      </c>
    </row>
    <row r="149" spans="1:17" x14ac:dyDescent="0.2">
      <c r="A149" t="s">
        <v>16</v>
      </c>
      <c r="B149" t="s">
        <v>53</v>
      </c>
      <c r="C149" t="s">
        <v>54</v>
      </c>
      <c r="E149" t="s">
        <v>100</v>
      </c>
      <c r="G149">
        <v>207607</v>
      </c>
      <c r="I149">
        <v>1</v>
      </c>
      <c r="J149">
        <v>1</v>
      </c>
      <c r="K149">
        <v>0.02</v>
      </c>
      <c r="L149">
        <v>0.01</v>
      </c>
      <c r="M149" t="s">
        <v>94</v>
      </c>
      <c r="N149" t="s">
        <v>76</v>
      </c>
      <c r="O149">
        <v>2</v>
      </c>
      <c r="P149" t="s">
        <v>72</v>
      </c>
      <c r="Q149" t="s">
        <v>74</v>
      </c>
    </row>
    <row r="150" spans="1:17" x14ac:dyDescent="0.2">
      <c r="A150" t="s">
        <v>16</v>
      </c>
      <c r="B150" t="s">
        <v>53</v>
      </c>
      <c r="C150" t="s">
        <v>54</v>
      </c>
      <c r="E150" t="s">
        <v>100</v>
      </c>
      <c r="G150">
        <v>207607</v>
      </c>
      <c r="I150">
        <v>1</v>
      </c>
      <c r="J150">
        <v>1</v>
      </c>
      <c r="K150">
        <v>0.02</v>
      </c>
      <c r="L150">
        <v>0.01</v>
      </c>
      <c r="M150" t="s">
        <v>28</v>
      </c>
      <c r="O150">
        <v>4</v>
      </c>
      <c r="P150" t="s">
        <v>72</v>
      </c>
      <c r="Q150" t="s">
        <v>74</v>
      </c>
    </row>
    <row r="151" spans="1:17" x14ac:dyDescent="0.2">
      <c r="A151" t="s">
        <v>16</v>
      </c>
      <c r="B151" t="s">
        <v>53</v>
      </c>
      <c r="C151" t="s">
        <v>54</v>
      </c>
      <c r="E151" t="s">
        <v>100</v>
      </c>
      <c r="G151">
        <v>207607</v>
      </c>
      <c r="I151">
        <v>1</v>
      </c>
      <c r="J151">
        <v>1</v>
      </c>
      <c r="K151">
        <v>0.02</v>
      </c>
      <c r="L151">
        <v>0.01</v>
      </c>
      <c r="M151" t="s">
        <v>42</v>
      </c>
      <c r="N151" t="s">
        <v>33</v>
      </c>
      <c r="O151">
        <v>2</v>
      </c>
      <c r="P151" t="s">
        <v>72</v>
      </c>
      <c r="Q151" t="s">
        <v>74</v>
      </c>
    </row>
    <row r="152" spans="1:17" x14ac:dyDescent="0.2">
      <c r="A152" t="s">
        <v>16</v>
      </c>
      <c r="B152" t="s">
        <v>53</v>
      </c>
      <c r="C152" t="s">
        <v>54</v>
      </c>
      <c r="E152" t="s">
        <v>100</v>
      </c>
      <c r="G152">
        <v>207607</v>
      </c>
      <c r="I152">
        <v>1</v>
      </c>
      <c r="J152">
        <v>1</v>
      </c>
      <c r="K152">
        <v>0.02</v>
      </c>
      <c r="L152">
        <v>0.01</v>
      </c>
      <c r="M152" t="s">
        <v>31</v>
      </c>
      <c r="O152">
        <v>3</v>
      </c>
      <c r="P152" t="s">
        <v>72</v>
      </c>
      <c r="Q152" t="s">
        <v>74</v>
      </c>
    </row>
    <row r="153" spans="1:17" x14ac:dyDescent="0.2">
      <c r="A153" t="s">
        <v>16</v>
      </c>
      <c r="B153" t="s">
        <v>53</v>
      </c>
      <c r="C153" t="s">
        <v>54</v>
      </c>
      <c r="E153" t="s">
        <v>100</v>
      </c>
      <c r="G153">
        <v>207607</v>
      </c>
      <c r="I153">
        <v>1</v>
      </c>
      <c r="J153">
        <v>1</v>
      </c>
      <c r="K153">
        <v>0.02</v>
      </c>
      <c r="L153">
        <v>0.01</v>
      </c>
      <c r="M153" t="s">
        <v>21</v>
      </c>
      <c r="O153">
        <v>2</v>
      </c>
      <c r="P153" t="s">
        <v>72</v>
      </c>
      <c r="Q153" t="s">
        <v>74</v>
      </c>
    </row>
    <row r="154" spans="1:17" x14ac:dyDescent="0.2">
      <c r="A154" t="s">
        <v>16</v>
      </c>
      <c r="B154" t="s">
        <v>53</v>
      </c>
      <c r="C154" t="s">
        <v>54</v>
      </c>
      <c r="E154" t="s">
        <v>100</v>
      </c>
      <c r="G154">
        <v>207607</v>
      </c>
      <c r="I154">
        <v>1</v>
      </c>
      <c r="J154">
        <v>1</v>
      </c>
      <c r="K154">
        <v>0.02</v>
      </c>
      <c r="L154">
        <v>0.01</v>
      </c>
      <c r="M154" t="s">
        <v>20</v>
      </c>
      <c r="O154">
        <v>5</v>
      </c>
      <c r="P154" t="s">
        <v>72</v>
      </c>
      <c r="Q154" t="s">
        <v>74</v>
      </c>
    </row>
    <row r="155" spans="1:17" x14ac:dyDescent="0.2">
      <c r="A155" t="s">
        <v>16</v>
      </c>
      <c r="B155" t="s">
        <v>53</v>
      </c>
      <c r="C155" t="s">
        <v>54</v>
      </c>
      <c r="E155" t="s">
        <v>100</v>
      </c>
      <c r="G155">
        <v>207607</v>
      </c>
      <c r="I155">
        <v>1</v>
      </c>
      <c r="J155">
        <v>1</v>
      </c>
      <c r="K155">
        <v>0.02</v>
      </c>
      <c r="L155">
        <v>0.01</v>
      </c>
      <c r="M155" t="s">
        <v>22</v>
      </c>
      <c r="O155">
        <v>1</v>
      </c>
      <c r="P155" t="s">
        <v>72</v>
      </c>
      <c r="Q155" t="s">
        <v>74</v>
      </c>
    </row>
    <row r="156" spans="1:17" x14ac:dyDescent="0.2">
      <c r="A156" t="s">
        <v>16</v>
      </c>
      <c r="B156" t="s">
        <v>53</v>
      </c>
      <c r="C156" t="s">
        <v>54</v>
      </c>
      <c r="E156" t="s">
        <v>100</v>
      </c>
      <c r="G156">
        <v>207607</v>
      </c>
      <c r="I156">
        <v>1</v>
      </c>
      <c r="J156">
        <v>1</v>
      </c>
      <c r="K156">
        <v>0.02</v>
      </c>
      <c r="L156">
        <v>0.01</v>
      </c>
      <c r="M156" t="s">
        <v>24</v>
      </c>
      <c r="O156">
        <v>2</v>
      </c>
      <c r="P156" t="s">
        <v>72</v>
      </c>
      <c r="Q156" t="s">
        <v>74</v>
      </c>
    </row>
    <row r="157" spans="1:17" x14ac:dyDescent="0.2">
      <c r="A157" t="s">
        <v>16</v>
      </c>
      <c r="B157" t="s">
        <v>53</v>
      </c>
      <c r="C157" t="s">
        <v>54</v>
      </c>
      <c r="E157" t="s">
        <v>100</v>
      </c>
      <c r="G157">
        <v>207607</v>
      </c>
      <c r="I157">
        <v>1</v>
      </c>
      <c r="J157">
        <v>1</v>
      </c>
      <c r="K157">
        <v>0.02</v>
      </c>
      <c r="L157">
        <v>0.01</v>
      </c>
      <c r="M157" t="s">
        <v>23</v>
      </c>
      <c r="O157">
        <v>27</v>
      </c>
      <c r="P157" t="s">
        <v>72</v>
      </c>
      <c r="Q157" t="s">
        <v>74</v>
      </c>
    </row>
    <row r="158" spans="1:17" x14ac:dyDescent="0.2">
      <c r="A158" t="s">
        <v>16</v>
      </c>
      <c r="B158" t="s">
        <v>53</v>
      </c>
      <c r="C158" t="s">
        <v>54</v>
      </c>
      <c r="E158" t="s">
        <v>100</v>
      </c>
      <c r="G158">
        <v>207607</v>
      </c>
      <c r="I158">
        <v>1</v>
      </c>
      <c r="J158">
        <v>1</v>
      </c>
      <c r="K158">
        <v>0.02</v>
      </c>
      <c r="L158">
        <v>0.01</v>
      </c>
      <c r="M158" t="s">
        <v>56</v>
      </c>
      <c r="O158">
        <v>1</v>
      </c>
      <c r="P158" t="s">
        <v>72</v>
      </c>
      <c r="Q158" t="s">
        <v>74</v>
      </c>
    </row>
    <row r="159" spans="1:17" x14ac:dyDescent="0.2">
      <c r="A159" t="s">
        <v>16</v>
      </c>
      <c r="B159" t="s">
        <v>53</v>
      </c>
      <c r="C159" t="s">
        <v>54</v>
      </c>
      <c r="E159" t="s">
        <v>100</v>
      </c>
      <c r="G159">
        <v>207607</v>
      </c>
      <c r="I159">
        <v>1</v>
      </c>
      <c r="J159">
        <v>1</v>
      </c>
      <c r="K159">
        <v>0.02</v>
      </c>
      <c r="L159">
        <v>0.01</v>
      </c>
      <c r="M159" t="s">
        <v>27</v>
      </c>
      <c r="O159">
        <v>20</v>
      </c>
      <c r="P159" t="s">
        <v>72</v>
      </c>
      <c r="Q159" t="s">
        <v>74</v>
      </c>
    </row>
    <row r="160" spans="1:17" x14ac:dyDescent="0.2">
      <c r="A160" t="s">
        <v>16</v>
      </c>
      <c r="B160" t="s">
        <v>53</v>
      </c>
      <c r="C160" t="s">
        <v>54</v>
      </c>
      <c r="E160" t="s">
        <v>100</v>
      </c>
      <c r="G160">
        <v>207607</v>
      </c>
      <c r="I160">
        <v>1</v>
      </c>
      <c r="J160">
        <v>1</v>
      </c>
      <c r="K160">
        <v>0.02</v>
      </c>
      <c r="L160">
        <v>0.01</v>
      </c>
      <c r="M160" t="s">
        <v>19</v>
      </c>
      <c r="O160">
        <v>24</v>
      </c>
      <c r="P160" t="s">
        <v>72</v>
      </c>
      <c r="Q160" t="s">
        <v>74</v>
      </c>
    </row>
    <row r="161" spans="1:17" x14ac:dyDescent="0.2">
      <c r="A161" t="s">
        <v>16</v>
      </c>
      <c r="B161" t="s">
        <v>53</v>
      </c>
      <c r="C161" t="s">
        <v>54</v>
      </c>
      <c r="E161" t="s">
        <v>100</v>
      </c>
      <c r="G161">
        <v>207607</v>
      </c>
      <c r="I161">
        <v>1</v>
      </c>
      <c r="J161">
        <v>1</v>
      </c>
      <c r="K161">
        <v>0.02</v>
      </c>
      <c r="L161">
        <v>0.01</v>
      </c>
      <c r="M161" t="s">
        <v>55</v>
      </c>
      <c r="O161">
        <v>1</v>
      </c>
      <c r="P161" t="s">
        <v>72</v>
      </c>
      <c r="Q161" t="s">
        <v>74</v>
      </c>
    </row>
    <row r="162" spans="1:17" x14ac:dyDescent="0.2">
      <c r="A162" t="s">
        <v>16</v>
      </c>
      <c r="B162" t="s">
        <v>53</v>
      </c>
      <c r="C162" t="s">
        <v>54</v>
      </c>
      <c r="E162" t="s">
        <v>100</v>
      </c>
      <c r="G162">
        <v>207607</v>
      </c>
      <c r="I162">
        <v>1</v>
      </c>
      <c r="J162">
        <v>1</v>
      </c>
      <c r="K162">
        <v>0.02</v>
      </c>
      <c r="L162">
        <v>0.01</v>
      </c>
      <c r="M162" t="s">
        <v>26</v>
      </c>
      <c r="O162">
        <v>2</v>
      </c>
      <c r="P162" t="s">
        <v>72</v>
      </c>
      <c r="Q162" t="s">
        <v>74</v>
      </c>
    </row>
    <row r="163" spans="1:17" x14ac:dyDescent="0.2">
      <c r="A163" t="s">
        <v>16</v>
      </c>
      <c r="B163" t="s">
        <v>53</v>
      </c>
      <c r="C163" t="s">
        <v>54</v>
      </c>
      <c r="E163" t="s">
        <v>100</v>
      </c>
      <c r="G163">
        <v>207607</v>
      </c>
      <c r="I163">
        <v>1</v>
      </c>
      <c r="J163">
        <v>1</v>
      </c>
      <c r="K163">
        <v>0.02</v>
      </c>
      <c r="L163">
        <v>0.01</v>
      </c>
      <c r="M163" t="s">
        <v>44</v>
      </c>
      <c r="O163">
        <v>2</v>
      </c>
      <c r="P163" t="s">
        <v>72</v>
      </c>
      <c r="Q163" t="s">
        <v>74</v>
      </c>
    </row>
    <row r="164" spans="1:17" x14ac:dyDescent="0.2">
      <c r="A164" t="s">
        <v>16</v>
      </c>
      <c r="B164" t="s">
        <v>53</v>
      </c>
      <c r="C164" t="s">
        <v>54</v>
      </c>
      <c r="E164" t="s">
        <v>100</v>
      </c>
      <c r="G164">
        <v>207607</v>
      </c>
      <c r="I164">
        <v>1</v>
      </c>
      <c r="J164">
        <v>0</v>
      </c>
      <c r="K164">
        <v>1</v>
      </c>
      <c r="L164">
        <v>1</v>
      </c>
      <c r="M164" t="s">
        <v>43</v>
      </c>
      <c r="O164">
        <v>1</v>
      </c>
      <c r="P164" t="s">
        <v>73</v>
      </c>
      <c r="Q164" t="s">
        <v>74</v>
      </c>
    </row>
    <row r="165" spans="1:17" x14ac:dyDescent="0.2">
      <c r="A165" t="s">
        <v>16</v>
      </c>
      <c r="B165" t="s">
        <v>53</v>
      </c>
      <c r="C165" t="s">
        <v>54</v>
      </c>
      <c r="E165" t="s">
        <v>100</v>
      </c>
      <c r="G165">
        <v>207607</v>
      </c>
      <c r="I165">
        <v>1</v>
      </c>
      <c r="J165">
        <v>0</v>
      </c>
      <c r="K165">
        <v>1</v>
      </c>
      <c r="L165">
        <v>1</v>
      </c>
      <c r="M165" t="s">
        <v>59</v>
      </c>
      <c r="O165">
        <v>1</v>
      </c>
      <c r="P165" t="s">
        <v>73</v>
      </c>
      <c r="Q165" t="s">
        <v>74</v>
      </c>
    </row>
    <row r="166" spans="1:17" x14ac:dyDescent="0.2">
      <c r="A166" t="s">
        <v>16</v>
      </c>
      <c r="B166" t="s">
        <v>53</v>
      </c>
      <c r="C166" t="s">
        <v>54</v>
      </c>
      <c r="E166" t="s">
        <v>100</v>
      </c>
      <c r="G166">
        <v>207607</v>
      </c>
      <c r="I166">
        <v>1</v>
      </c>
      <c r="J166">
        <v>0</v>
      </c>
      <c r="K166">
        <v>1</v>
      </c>
      <c r="L166">
        <v>1</v>
      </c>
      <c r="M166" t="s">
        <v>47</v>
      </c>
      <c r="O166">
        <v>1</v>
      </c>
      <c r="P166" t="s">
        <v>73</v>
      </c>
      <c r="Q166" t="s">
        <v>74</v>
      </c>
    </row>
    <row r="167" spans="1:17" x14ac:dyDescent="0.2">
      <c r="A167" t="s">
        <v>16</v>
      </c>
      <c r="B167" t="s">
        <v>53</v>
      </c>
      <c r="C167" t="s">
        <v>54</v>
      </c>
      <c r="E167" t="s">
        <v>100</v>
      </c>
      <c r="G167">
        <v>207607</v>
      </c>
      <c r="I167">
        <v>1</v>
      </c>
      <c r="J167">
        <v>0</v>
      </c>
      <c r="K167">
        <v>1</v>
      </c>
      <c r="L167">
        <v>1</v>
      </c>
      <c r="M167" t="s">
        <v>43</v>
      </c>
      <c r="O167">
        <v>0.1186</v>
      </c>
      <c r="P167" t="s">
        <v>73</v>
      </c>
      <c r="Q167" t="s">
        <v>75</v>
      </c>
    </row>
    <row r="168" spans="1:17" x14ac:dyDescent="0.2">
      <c r="A168" t="s">
        <v>16</v>
      </c>
      <c r="B168" t="s">
        <v>53</v>
      </c>
      <c r="C168" t="s">
        <v>54</v>
      </c>
      <c r="E168" t="s">
        <v>100</v>
      </c>
      <c r="G168">
        <v>207607</v>
      </c>
      <c r="I168">
        <v>1</v>
      </c>
      <c r="J168">
        <v>0</v>
      </c>
      <c r="K168">
        <v>1</v>
      </c>
      <c r="L168">
        <v>1</v>
      </c>
      <c r="M168" t="s">
        <v>59</v>
      </c>
      <c r="O168">
        <v>0.1552</v>
      </c>
      <c r="P168" t="s">
        <v>73</v>
      </c>
      <c r="Q168" t="s">
        <v>75</v>
      </c>
    </row>
    <row r="169" spans="1:17" x14ac:dyDescent="0.2">
      <c r="A169" t="s">
        <v>16</v>
      </c>
      <c r="B169" t="s">
        <v>53</v>
      </c>
      <c r="C169" t="s">
        <v>54</v>
      </c>
      <c r="E169" t="s">
        <v>100</v>
      </c>
      <c r="G169">
        <v>207607</v>
      </c>
      <c r="I169">
        <v>1</v>
      </c>
      <c r="J169">
        <v>0</v>
      </c>
      <c r="K169">
        <v>1</v>
      </c>
      <c r="L169">
        <v>1</v>
      </c>
      <c r="M169" t="s">
        <v>47</v>
      </c>
      <c r="O169">
        <v>5.11E-2</v>
      </c>
      <c r="P169" t="s">
        <v>73</v>
      </c>
      <c r="Q169" t="s">
        <v>75</v>
      </c>
    </row>
    <row r="170" spans="1:17" x14ac:dyDescent="0.2">
      <c r="A170" t="s">
        <v>16</v>
      </c>
      <c r="B170" t="s">
        <v>53</v>
      </c>
      <c r="C170" t="s">
        <v>54</v>
      </c>
      <c r="E170" t="s">
        <v>100</v>
      </c>
      <c r="G170">
        <v>207607</v>
      </c>
      <c r="I170">
        <v>1</v>
      </c>
      <c r="J170">
        <v>0</v>
      </c>
      <c r="K170">
        <v>1</v>
      </c>
      <c r="L170">
        <v>1</v>
      </c>
      <c r="M170" t="s">
        <v>95</v>
      </c>
      <c r="O170">
        <f>SUM(O167:O169)</f>
        <v>0.32489999999999997</v>
      </c>
      <c r="P170" t="s">
        <v>73</v>
      </c>
      <c r="Q170" t="s">
        <v>75</v>
      </c>
    </row>
    <row r="171" spans="1:17" x14ac:dyDescent="0.2">
      <c r="A171" t="s">
        <v>16</v>
      </c>
      <c r="B171" t="s">
        <v>53</v>
      </c>
      <c r="C171" t="s">
        <v>54</v>
      </c>
      <c r="E171" t="s">
        <v>100</v>
      </c>
      <c r="G171">
        <v>207607</v>
      </c>
      <c r="I171">
        <v>1</v>
      </c>
      <c r="J171">
        <v>0</v>
      </c>
      <c r="K171">
        <v>1</v>
      </c>
      <c r="L171">
        <v>1</v>
      </c>
      <c r="M171" t="s">
        <v>95</v>
      </c>
      <c r="O171">
        <f>18.8605-2.2218</f>
        <v>16.6387</v>
      </c>
      <c r="P171" t="s">
        <v>72</v>
      </c>
      <c r="Q171" t="s">
        <v>75</v>
      </c>
    </row>
    <row r="172" spans="1:17" x14ac:dyDescent="0.2">
      <c r="A172" t="s">
        <v>16</v>
      </c>
      <c r="B172" t="s">
        <v>53</v>
      </c>
      <c r="C172" t="s">
        <v>54</v>
      </c>
      <c r="E172" t="s">
        <v>100</v>
      </c>
      <c r="G172">
        <v>207607</v>
      </c>
      <c r="I172">
        <v>1</v>
      </c>
      <c r="J172">
        <v>0</v>
      </c>
      <c r="K172">
        <v>1</v>
      </c>
      <c r="L172">
        <v>1</v>
      </c>
      <c r="M172" t="s">
        <v>96</v>
      </c>
      <c r="O172">
        <f>SUM(O170:O171)</f>
        <v>16.9636</v>
      </c>
      <c r="P172" t="s">
        <v>98</v>
      </c>
      <c r="Q172" t="s">
        <v>75</v>
      </c>
    </row>
    <row r="173" spans="1:17" x14ac:dyDescent="0.2">
      <c r="A173" t="s">
        <v>16</v>
      </c>
      <c r="B173" t="s">
        <v>53</v>
      </c>
      <c r="C173" t="s">
        <v>54</v>
      </c>
      <c r="E173" t="s">
        <v>100</v>
      </c>
      <c r="G173">
        <v>207607</v>
      </c>
      <c r="I173">
        <v>1</v>
      </c>
      <c r="J173">
        <v>1</v>
      </c>
      <c r="K173">
        <v>1</v>
      </c>
      <c r="L173">
        <v>0.5</v>
      </c>
      <c r="M173" t="s">
        <v>97</v>
      </c>
      <c r="O173">
        <f>1.4962-0.11</f>
        <v>1.3861999999999999</v>
      </c>
      <c r="P173" t="s">
        <v>72</v>
      </c>
      <c r="Q173" t="s">
        <v>75</v>
      </c>
    </row>
    <row r="174" spans="1:17" x14ac:dyDescent="0.2">
      <c r="A174" t="s">
        <v>16</v>
      </c>
      <c r="B174" t="s">
        <v>53</v>
      </c>
      <c r="C174" t="s">
        <v>60</v>
      </c>
      <c r="E174" t="s">
        <v>100</v>
      </c>
      <c r="G174">
        <v>207618</v>
      </c>
      <c r="I174">
        <v>1</v>
      </c>
      <c r="J174">
        <v>1</v>
      </c>
      <c r="K174">
        <v>0.02</v>
      </c>
      <c r="L174">
        <v>0.01</v>
      </c>
      <c r="M174" t="s">
        <v>61</v>
      </c>
      <c r="N174" t="s">
        <v>33</v>
      </c>
      <c r="O174">
        <v>1</v>
      </c>
      <c r="P174" t="s">
        <v>72</v>
      </c>
      <c r="Q174" t="s">
        <v>74</v>
      </c>
    </row>
    <row r="175" spans="1:17" x14ac:dyDescent="0.2">
      <c r="A175" t="s">
        <v>16</v>
      </c>
      <c r="B175" t="s">
        <v>53</v>
      </c>
      <c r="C175" t="s">
        <v>60</v>
      </c>
      <c r="E175" t="s">
        <v>100</v>
      </c>
      <c r="G175">
        <v>207618</v>
      </c>
      <c r="I175">
        <v>1</v>
      </c>
      <c r="J175">
        <v>1</v>
      </c>
      <c r="K175">
        <v>0.02</v>
      </c>
      <c r="L175">
        <v>0.01</v>
      </c>
      <c r="M175" t="s">
        <v>43</v>
      </c>
      <c r="O175">
        <v>1</v>
      </c>
      <c r="P175" t="s">
        <v>72</v>
      </c>
      <c r="Q175" t="s">
        <v>74</v>
      </c>
    </row>
    <row r="176" spans="1:17" x14ac:dyDescent="0.2">
      <c r="A176" t="s">
        <v>16</v>
      </c>
      <c r="B176" t="s">
        <v>53</v>
      </c>
      <c r="C176" t="s">
        <v>60</v>
      </c>
      <c r="E176" t="s">
        <v>100</v>
      </c>
      <c r="G176">
        <v>207618</v>
      </c>
      <c r="I176">
        <v>1</v>
      </c>
      <c r="J176">
        <v>1</v>
      </c>
      <c r="K176">
        <v>0.02</v>
      </c>
      <c r="L176">
        <v>0.01</v>
      </c>
      <c r="M176" t="s">
        <v>80</v>
      </c>
      <c r="N176" t="s">
        <v>37</v>
      </c>
      <c r="O176">
        <v>3</v>
      </c>
      <c r="P176" t="s">
        <v>72</v>
      </c>
      <c r="Q176" t="s">
        <v>74</v>
      </c>
    </row>
    <row r="177" spans="1:17" x14ac:dyDescent="0.2">
      <c r="A177" t="s">
        <v>16</v>
      </c>
      <c r="B177" t="s">
        <v>53</v>
      </c>
      <c r="C177" t="s">
        <v>60</v>
      </c>
      <c r="E177" t="s">
        <v>100</v>
      </c>
      <c r="G177">
        <v>207618</v>
      </c>
      <c r="I177">
        <v>1</v>
      </c>
      <c r="J177">
        <v>1</v>
      </c>
      <c r="K177">
        <v>0.02</v>
      </c>
      <c r="L177">
        <v>0.01</v>
      </c>
      <c r="M177" t="s">
        <v>78</v>
      </c>
      <c r="N177" t="s">
        <v>81</v>
      </c>
      <c r="O177">
        <v>6</v>
      </c>
      <c r="P177" t="s">
        <v>72</v>
      </c>
      <c r="Q177" t="s">
        <v>74</v>
      </c>
    </row>
    <row r="178" spans="1:17" x14ac:dyDescent="0.2">
      <c r="A178" t="s">
        <v>16</v>
      </c>
      <c r="B178" t="s">
        <v>53</v>
      </c>
      <c r="C178" t="s">
        <v>60</v>
      </c>
      <c r="E178" t="s">
        <v>100</v>
      </c>
      <c r="G178">
        <v>207618</v>
      </c>
      <c r="I178">
        <v>1</v>
      </c>
      <c r="J178">
        <v>1</v>
      </c>
      <c r="K178">
        <v>0.02</v>
      </c>
      <c r="L178">
        <v>0.01</v>
      </c>
      <c r="M178" t="s">
        <v>78</v>
      </c>
      <c r="N178" s="2" t="s">
        <v>82</v>
      </c>
      <c r="O178">
        <v>2</v>
      </c>
      <c r="P178" t="s">
        <v>72</v>
      </c>
      <c r="Q178" t="s">
        <v>74</v>
      </c>
    </row>
    <row r="179" spans="1:17" x14ac:dyDescent="0.2">
      <c r="A179" t="s">
        <v>16</v>
      </c>
      <c r="B179" t="s">
        <v>53</v>
      </c>
      <c r="C179" t="s">
        <v>60</v>
      </c>
      <c r="E179" t="s">
        <v>100</v>
      </c>
      <c r="G179">
        <v>207618</v>
      </c>
      <c r="I179">
        <v>1</v>
      </c>
      <c r="J179">
        <v>1</v>
      </c>
      <c r="K179">
        <v>0.02</v>
      </c>
      <c r="L179">
        <v>0.01</v>
      </c>
      <c r="M179" t="s">
        <v>78</v>
      </c>
      <c r="N179" s="2" t="s">
        <v>77</v>
      </c>
      <c r="O179">
        <v>6</v>
      </c>
      <c r="P179" t="s">
        <v>72</v>
      </c>
      <c r="Q179" t="s">
        <v>74</v>
      </c>
    </row>
    <row r="180" spans="1:17" x14ac:dyDescent="0.2">
      <c r="A180" t="s">
        <v>16</v>
      </c>
      <c r="B180" t="s">
        <v>53</v>
      </c>
      <c r="C180" t="s">
        <v>60</v>
      </c>
      <c r="E180" t="s">
        <v>100</v>
      </c>
      <c r="G180">
        <v>207618</v>
      </c>
      <c r="I180">
        <v>1</v>
      </c>
      <c r="J180">
        <v>1</v>
      </c>
      <c r="K180">
        <v>0.02</v>
      </c>
      <c r="L180">
        <v>0.01</v>
      </c>
      <c r="M180" t="s">
        <v>78</v>
      </c>
      <c r="N180" s="2" t="s">
        <v>83</v>
      </c>
      <c r="O180">
        <v>40</v>
      </c>
      <c r="P180" t="s">
        <v>72</v>
      </c>
      <c r="Q180" t="s">
        <v>74</v>
      </c>
    </row>
    <row r="181" spans="1:17" x14ac:dyDescent="0.2">
      <c r="A181" t="s">
        <v>16</v>
      </c>
      <c r="B181" t="s">
        <v>53</v>
      </c>
      <c r="C181" t="s">
        <v>60</v>
      </c>
      <c r="E181" t="s">
        <v>100</v>
      </c>
      <c r="G181">
        <v>207618</v>
      </c>
      <c r="I181">
        <v>1</v>
      </c>
      <c r="J181">
        <v>1</v>
      </c>
      <c r="K181">
        <v>0.02</v>
      </c>
      <c r="L181">
        <v>0.01</v>
      </c>
      <c r="M181" t="s">
        <v>78</v>
      </c>
      <c r="N181" s="2" t="s">
        <v>41</v>
      </c>
      <c r="O181">
        <v>63</v>
      </c>
      <c r="P181" t="s">
        <v>72</v>
      </c>
      <c r="Q181" t="s">
        <v>74</v>
      </c>
    </row>
    <row r="182" spans="1:17" x14ac:dyDescent="0.2">
      <c r="A182" t="s">
        <v>16</v>
      </c>
      <c r="B182" t="s">
        <v>53</v>
      </c>
      <c r="C182" t="s">
        <v>60</v>
      </c>
      <c r="E182" t="s">
        <v>100</v>
      </c>
      <c r="G182">
        <v>207618</v>
      </c>
      <c r="I182">
        <v>1</v>
      </c>
      <c r="J182">
        <v>1</v>
      </c>
      <c r="K182">
        <v>0.02</v>
      </c>
      <c r="L182">
        <v>0.01</v>
      </c>
      <c r="M182" t="s">
        <v>34</v>
      </c>
      <c r="N182" s="2" t="s">
        <v>83</v>
      </c>
      <c r="O182">
        <v>4</v>
      </c>
      <c r="P182" t="s">
        <v>72</v>
      </c>
      <c r="Q182" t="s">
        <v>74</v>
      </c>
    </row>
    <row r="183" spans="1:17" x14ac:dyDescent="0.2">
      <c r="A183" t="s">
        <v>16</v>
      </c>
      <c r="B183" t="s">
        <v>53</v>
      </c>
      <c r="C183" t="s">
        <v>60</v>
      </c>
      <c r="E183" t="s">
        <v>100</v>
      </c>
      <c r="G183">
        <v>207618</v>
      </c>
      <c r="I183">
        <v>1</v>
      </c>
      <c r="J183">
        <v>1</v>
      </c>
      <c r="K183">
        <v>0.02</v>
      </c>
      <c r="L183">
        <v>0.01</v>
      </c>
      <c r="M183" t="s">
        <v>86</v>
      </c>
      <c r="N183" s="2" t="s">
        <v>77</v>
      </c>
      <c r="O183">
        <v>1</v>
      </c>
      <c r="P183" t="s">
        <v>72</v>
      </c>
      <c r="Q183" t="s">
        <v>74</v>
      </c>
    </row>
    <row r="184" spans="1:17" x14ac:dyDescent="0.2">
      <c r="A184" t="s">
        <v>16</v>
      </c>
      <c r="B184" t="s">
        <v>53</v>
      </c>
      <c r="C184" t="s">
        <v>60</v>
      </c>
      <c r="E184" t="s">
        <v>100</v>
      </c>
      <c r="G184">
        <v>207618</v>
      </c>
      <c r="I184">
        <v>1</v>
      </c>
      <c r="J184">
        <v>1</v>
      </c>
      <c r="K184">
        <v>0.02</v>
      </c>
      <c r="L184">
        <v>0.01</v>
      </c>
      <c r="M184" t="s">
        <v>86</v>
      </c>
      <c r="N184" s="2" t="s">
        <v>83</v>
      </c>
      <c r="O184">
        <v>40</v>
      </c>
      <c r="P184" t="s">
        <v>72</v>
      </c>
      <c r="Q184" t="s">
        <v>74</v>
      </c>
    </row>
    <row r="185" spans="1:17" x14ac:dyDescent="0.2">
      <c r="A185" t="s">
        <v>16</v>
      </c>
      <c r="B185" t="s">
        <v>53</v>
      </c>
      <c r="C185" t="s">
        <v>60</v>
      </c>
      <c r="E185" t="s">
        <v>100</v>
      </c>
      <c r="G185">
        <v>207618</v>
      </c>
      <c r="I185">
        <v>1</v>
      </c>
      <c r="J185">
        <v>1</v>
      </c>
      <c r="K185">
        <v>0.02</v>
      </c>
      <c r="L185">
        <v>0.01</v>
      </c>
      <c r="M185" t="s">
        <v>86</v>
      </c>
      <c r="N185" s="2" t="s">
        <v>41</v>
      </c>
      <c r="O185">
        <v>7</v>
      </c>
      <c r="P185" t="s">
        <v>72</v>
      </c>
      <c r="Q185" t="s">
        <v>74</v>
      </c>
    </row>
    <row r="186" spans="1:17" x14ac:dyDescent="0.2">
      <c r="A186" t="s">
        <v>16</v>
      </c>
      <c r="B186" t="s">
        <v>53</v>
      </c>
      <c r="C186" t="s">
        <v>60</v>
      </c>
      <c r="E186" t="s">
        <v>100</v>
      </c>
      <c r="G186">
        <v>207618</v>
      </c>
      <c r="I186">
        <v>1</v>
      </c>
      <c r="J186">
        <v>1</v>
      </c>
      <c r="K186">
        <v>0.02</v>
      </c>
      <c r="L186">
        <v>0.01</v>
      </c>
      <c r="M186" t="s">
        <v>34</v>
      </c>
      <c r="N186" t="s">
        <v>41</v>
      </c>
      <c r="O186">
        <v>5</v>
      </c>
      <c r="P186" t="s">
        <v>72</v>
      </c>
      <c r="Q186" t="s">
        <v>74</v>
      </c>
    </row>
    <row r="187" spans="1:17" x14ac:dyDescent="0.2">
      <c r="A187" t="s">
        <v>16</v>
      </c>
      <c r="B187" t="s">
        <v>53</v>
      </c>
      <c r="C187" t="s">
        <v>60</v>
      </c>
      <c r="E187" t="s">
        <v>100</v>
      </c>
      <c r="G187">
        <v>207618</v>
      </c>
      <c r="I187">
        <v>1</v>
      </c>
      <c r="J187">
        <v>1</v>
      </c>
      <c r="K187">
        <v>0.02</v>
      </c>
      <c r="L187">
        <v>0.01</v>
      </c>
      <c r="M187" t="s">
        <v>69</v>
      </c>
      <c r="N187" t="s">
        <v>33</v>
      </c>
      <c r="O187">
        <v>1</v>
      </c>
      <c r="P187" t="s">
        <v>72</v>
      </c>
      <c r="Q187" t="s">
        <v>74</v>
      </c>
    </row>
    <row r="188" spans="1:17" x14ac:dyDescent="0.2">
      <c r="A188" t="s">
        <v>16</v>
      </c>
      <c r="B188" t="s">
        <v>53</v>
      </c>
      <c r="C188" t="s">
        <v>60</v>
      </c>
      <c r="E188" t="s">
        <v>100</v>
      </c>
      <c r="G188">
        <v>207618</v>
      </c>
      <c r="I188">
        <v>1</v>
      </c>
      <c r="J188">
        <v>1</v>
      </c>
      <c r="K188">
        <v>0.02</v>
      </c>
      <c r="L188">
        <v>0.01</v>
      </c>
      <c r="M188" t="s">
        <v>69</v>
      </c>
      <c r="N188" t="s">
        <v>33</v>
      </c>
      <c r="O188">
        <v>9</v>
      </c>
      <c r="P188" t="s">
        <v>72</v>
      </c>
      <c r="Q188" t="s">
        <v>74</v>
      </c>
    </row>
    <row r="189" spans="1:17" x14ac:dyDescent="0.2">
      <c r="A189" t="s">
        <v>16</v>
      </c>
      <c r="B189" t="s">
        <v>53</v>
      </c>
      <c r="C189" t="s">
        <v>60</v>
      </c>
      <c r="E189" t="s">
        <v>100</v>
      </c>
      <c r="G189">
        <v>207618</v>
      </c>
      <c r="I189">
        <v>1</v>
      </c>
      <c r="J189">
        <v>1</v>
      </c>
      <c r="K189">
        <v>0.02</v>
      </c>
      <c r="L189">
        <v>0.01</v>
      </c>
      <c r="M189" t="s">
        <v>70</v>
      </c>
      <c r="N189" t="s">
        <v>90</v>
      </c>
      <c r="O189">
        <v>25</v>
      </c>
      <c r="P189" t="s">
        <v>72</v>
      </c>
      <c r="Q189" t="s">
        <v>74</v>
      </c>
    </row>
    <row r="190" spans="1:17" x14ac:dyDescent="0.2">
      <c r="A190" t="s">
        <v>16</v>
      </c>
      <c r="B190" t="s">
        <v>53</v>
      </c>
      <c r="C190" t="s">
        <v>60</v>
      </c>
      <c r="E190" t="s">
        <v>100</v>
      </c>
      <c r="G190">
        <v>207618</v>
      </c>
      <c r="I190">
        <v>1</v>
      </c>
      <c r="J190">
        <v>1</v>
      </c>
      <c r="K190">
        <v>0.02</v>
      </c>
      <c r="L190">
        <v>0.01</v>
      </c>
      <c r="M190" t="s">
        <v>70</v>
      </c>
      <c r="N190" t="s">
        <v>33</v>
      </c>
      <c r="O190">
        <v>11</v>
      </c>
      <c r="P190" t="s">
        <v>72</v>
      </c>
      <c r="Q190" t="s">
        <v>74</v>
      </c>
    </row>
    <row r="191" spans="1:17" x14ac:dyDescent="0.2">
      <c r="A191" t="s">
        <v>16</v>
      </c>
      <c r="B191" t="s">
        <v>53</v>
      </c>
      <c r="C191" t="s">
        <v>60</v>
      </c>
      <c r="E191" t="s">
        <v>100</v>
      </c>
      <c r="G191">
        <v>207618</v>
      </c>
      <c r="I191">
        <v>1</v>
      </c>
      <c r="J191">
        <v>1</v>
      </c>
      <c r="K191">
        <v>0.02</v>
      </c>
      <c r="L191">
        <v>0.01</v>
      </c>
      <c r="M191" t="s">
        <v>94</v>
      </c>
      <c r="N191" t="s">
        <v>76</v>
      </c>
      <c r="O191">
        <v>6</v>
      </c>
      <c r="P191" t="s">
        <v>72</v>
      </c>
      <c r="Q191" t="s">
        <v>74</v>
      </c>
    </row>
    <row r="192" spans="1:17" x14ac:dyDescent="0.2">
      <c r="A192" t="s">
        <v>16</v>
      </c>
      <c r="B192" t="s">
        <v>53</v>
      </c>
      <c r="C192" t="s">
        <v>60</v>
      </c>
      <c r="E192" t="s">
        <v>100</v>
      </c>
      <c r="G192">
        <v>207618</v>
      </c>
      <c r="I192">
        <v>1</v>
      </c>
      <c r="J192">
        <v>1</v>
      </c>
      <c r="K192">
        <v>0.02</v>
      </c>
      <c r="L192">
        <v>0.01</v>
      </c>
      <c r="M192" t="s">
        <v>28</v>
      </c>
      <c r="O192">
        <v>2</v>
      </c>
      <c r="P192" t="s">
        <v>72</v>
      </c>
      <c r="Q192" t="s">
        <v>74</v>
      </c>
    </row>
    <row r="193" spans="1:17" x14ac:dyDescent="0.2">
      <c r="A193" t="s">
        <v>16</v>
      </c>
      <c r="B193" t="s">
        <v>53</v>
      </c>
      <c r="C193" t="s">
        <v>60</v>
      </c>
      <c r="E193" t="s">
        <v>100</v>
      </c>
      <c r="G193">
        <v>207618</v>
      </c>
      <c r="I193">
        <v>1</v>
      </c>
      <c r="J193">
        <v>1</v>
      </c>
      <c r="K193">
        <v>0.02</v>
      </c>
      <c r="L193">
        <v>0.01</v>
      </c>
      <c r="M193" t="s">
        <v>42</v>
      </c>
      <c r="N193" t="s">
        <v>33</v>
      </c>
      <c r="O193">
        <v>4</v>
      </c>
      <c r="P193" t="s">
        <v>72</v>
      </c>
      <c r="Q193" t="s">
        <v>74</v>
      </c>
    </row>
    <row r="194" spans="1:17" x14ac:dyDescent="0.2">
      <c r="A194" t="s">
        <v>16</v>
      </c>
      <c r="B194" t="s">
        <v>53</v>
      </c>
      <c r="C194" t="s">
        <v>60</v>
      </c>
      <c r="E194" t="s">
        <v>100</v>
      </c>
      <c r="G194">
        <v>207618</v>
      </c>
      <c r="I194">
        <v>1</v>
      </c>
      <c r="J194">
        <v>1</v>
      </c>
      <c r="K194">
        <v>0.02</v>
      </c>
      <c r="L194">
        <v>0.01</v>
      </c>
      <c r="M194" t="s">
        <v>31</v>
      </c>
      <c r="O194">
        <v>3</v>
      </c>
      <c r="P194" t="s">
        <v>72</v>
      </c>
      <c r="Q194" t="s">
        <v>74</v>
      </c>
    </row>
    <row r="195" spans="1:17" x14ac:dyDescent="0.2">
      <c r="A195" t="s">
        <v>16</v>
      </c>
      <c r="B195" t="s">
        <v>53</v>
      </c>
      <c r="C195" t="s">
        <v>60</v>
      </c>
      <c r="E195" t="s">
        <v>100</v>
      </c>
      <c r="G195">
        <v>207618</v>
      </c>
      <c r="I195">
        <v>1</v>
      </c>
      <c r="J195">
        <v>1</v>
      </c>
      <c r="K195">
        <v>0.02</v>
      </c>
      <c r="L195">
        <v>0.01</v>
      </c>
      <c r="M195" t="s">
        <v>23</v>
      </c>
      <c r="O195">
        <v>47</v>
      </c>
      <c r="P195" t="s">
        <v>72</v>
      </c>
      <c r="Q195" t="s">
        <v>74</v>
      </c>
    </row>
    <row r="196" spans="1:17" x14ac:dyDescent="0.2">
      <c r="A196" t="s">
        <v>16</v>
      </c>
      <c r="B196" t="s">
        <v>53</v>
      </c>
      <c r="C196" t="s">
        <v>60</v>
      </c>
      <c r="E196" t="s">
        <v>100</v>
      </c>
      <c r="G196">
        <v>207618</v>
      </c>
      <c r="I196">
        <v>1</v>
      </c>
      <c r="J196">
        <v>1</v>
      </c>
      <c r="K196">
        <v>0.02</v>
      </c>
      <c r="L196">
        <v>0.01</v>
      </c>
      <c r="M196" t="s">
        <v>27</v>
      </c>
      <c r="O196">
        <v>28</v>
      </c>
      <c r="P196" t="s">
        <v>72</v>
      </c>
      <c r="Q196" t="s">
        <v>74</v>
      </c>
    </row>
    <row r="197" spans="1:17" x14ac:dyDescent="0.2">
      <c r="A197" t="s">
        <v>16</v>
      </c>
      <c r="B197" t="s">
        <v>53</v>
      </c>
      <c r="C197" t="s">
        <v>60</v>
      </c>
      <c r="E197" t="s">
        <v>100</v>
      </c>
      <c r="G197">
        <v>207618</v>
      </c>
      <c r="I197">
        <v>1</v>
      </c>
      <c r="J197">
        <v>1</v>
      </c>
      <c r="K197">
        <v>0.02</v>
      </c>
      <c r="L197">
        <v>0.01</v>
      </c>
      <c r="M197" t="s">
        <v>19</v>
      </c>
      <c r="O197">
        <v>88</v>
      </c>
      <c r="P197" t="s">
        <v>72</v>
      </c>
      <c r="Q197" t="s">
        <v>74</v>
      </c>
    </row>
    <row r="198" spans="1:17" x14ac:dyDescent="0.2">
      <c r="A198" t="s">
        <v>16</v>
      </c>
      <c r="B198" t="s">
        <v>53</v>
      </c>
      <c r="C198" t="s">
        <v>60</v>
      </c>
      <c r="E198" t="s">
        <v>100</v>
      </c>
      <c r="G198">
        <v>207618</v>
      </c>
      <c r="I198">
        <v>1</v>
      </c>
      <c r="J198">
        <v>1</v>
      </c>
      <c r="K198">
        <v>0.02</v>
      </c>
      <c r="L198">
        <v>0.01</v>
      </c>
      <c r="M198" t="s">
        <v>26</v>
      </c>
      <c r="O198">
        <v>4</v>
      </c>
      <c r="P198" t="s">
        <v>72</v>
      </c>
      <c r="Q198" t="s">
        <v>74</v>
      </c>
    </row>
    <row r="199" spans="1:17" x14ac:dyDescent="0.2">
      <c r="A199" t="s">
        <v>16</v>
      </c>
      <c r="B199" t="s">
        <v>53</v>
      </c>
      <c r="C199" t="s">
        <v>60</v>
      </c>
      <c r="E199" t="s">
        <v>100</v>
      </c>
      <c r="G199">
        <v>207618</v>
      </c>
      <c r="I199">
        <v>1</v>
      </c>
      <c r="J199">
        <v>1</v>
      </c>
      <c r="K199">
        <v>0.02</v>
      </c>
      <c r="L199">
        <v>0.01</v>
      </c>
      <c r="M199" t="s">
        <v>44</v>
      </c>
      <c r="O199">
        <v>5</v>
      </c>
      <c r="P199" t="s">
        <v>72</v>
      </c>
      <c r="Q199" t="s">
        <v>74</v>
      </c>
    </row>
    <row r="200" spans="1:17" x14ac:dyDescent="0.2">
      <c r="A200" t="s">
        <v>16</v>
      </c>
      <c r="B200" t="s">
        <v>53</v>
      </c>
      <c r="C200" t="s">
        <v>60</v>
      </c>
      <c r="E200" t="s">
        <v>100</v>
      </c>
      <c r="G200">
        <v>207618</v>
      </c>
      <c r="I200">
        <v>1</v>
      </c>
      <c r="J200">
        <v>0</v>
      </c>
      <c r="K200">
        <v>1</v>
      </c>
      <c r="L200">
        <v>1</v>
      </c>
      <c r="M200" t="s">
        <v>62</v>
      </c>
      <c r="O200">
        <v>1</v>
      </c>
      <c r="P200" t="s">
        <v>73</v>
      </c>
      <c r="Q200" t="s">
        <v>74</v>
      </c>
    </row>
    <row r="201" spans="1:17" x14ac:dyDescent="0.2">
      <c r="A201" t="s">
        <v>16</v>
      </c>
      <c r="B201" t="s">
        <v>53</v>
      </c>
      <c r="C201" t="s">
        <v>60</v>
      </c>
      <c r="E201" t="s">
        <v>100</v>
      </c>
      <c r="G201">
        <v>207618</v>
      </c>
      <c r="I201">
        <v>1</v>
      </c>
      <c r="J201">
        <v>0</v>
      </c>
      <c r="K201">
        <v>1</v>
      </c>
      <c r="L201">
        <v>1</v>
      </c>
      <c r="M201" t="s">
        <v>47</v>
      </c>
      <c r="O201">
        <v>2</v>
      </c>
      <c r="P201" t="s">
        <v>73</v>
      </c>
      <c r="Q201" t="s">
        <v>74</v>
      </c>
    </row>
    <row r="202" spans="1:17" x14ac:dyDescent="0.2">
      <c r="A202" t="s">
        <v>16</v>
      </c>
      <c r="B202" t="s">
        <v>53</v>
      </c>
      <c r="C202" t="s">
        <v>60</v>
      </c>
      <c r="E202" t="s">
        <v>100</v>
      </c>
      <c r="G202">
        <v>207618</v>
      </c>
      <c r="I202">
        <v>1</v>
      </c>
      <c r="J202">
        <v>0</v>
      </c>
      <c r="K202">
        <v>1</v>
      </c>
      <c r="L202">
        <v>1</v>
      </c>
      <c r="M202" t="s">
        <v>62</v>
      </c>
      <c r="O202">
        <v>8.09E-2</v>
      </c>
      <c r="P202" t="s">
        <v>73</v>
      </c>
      <c r="Q202" t="s">
        <v>75</v>
      </c>
    </row>
    <row r="203" spans="1:17" x14ac:dyDescent="0.2">
      <c r="A203" t="s">
        <v>16</v>
      </c>
      <c r="B203" t="s">
        <v>53</v>
      </c>
      <c r="C203" t="s">
        <v>60</v>
      </c>
      <c r="E203" t="s">
        <v>100</v>
      </c>
      <c r="G203">
        <v>207618</v>
      </c>
      <c r="I203">
        <v>1</v>
      </c>
      <c r="J203">
        <v>0</v>
      </c>
      <c r="K203">
        <v>1</v>
      </c>
      <c r="L203">
        <v>1</v>
      </c>
      <c r="M203" t="s">
        <v>47</v>
      </c>
      <c r="O203">
        <v>7.7499999999999999E-2</v>
      </c>
      <c r="P203" t="s">
        <v>73</v>
      </c>
      <c r="Q203" t="s">
        <v>75</v>
      </c>
    </row>
    <row r="204" spans="1:17" x14ac:dyDescent="0.2">
      <c r="A204" t="s">
        <v>16</v>
      </c>
      <c r="B204" t="s">
        <v>53</v>
      </c>
      <c r="C204" t="s">
        <v>60</v>
      </c>
      <c r="E204" t="s">
        <v>100</v>
      </c>
      <c r="G204">
        <v>207618</v>
      </c>
      <c r="I204">
        <v>1</v>
      </c>
      <c r="J204">
        <v>0</v>
      </c>
      <c r="K204">
        <v>1</v>
      </c>
      <c r="L204">
        <v>1</v>
      </c>
      <c r="M204" t="s">
        <v>95</v>
      </c>
      <c r="O204">
        <f>SUM(O202:O203)</f>
        <v>0.15839999999999999</v>
      </c>
      <c r="P204" t="s">
        <v>73</v>
      </c>
      <c r="Q204" t="s">
        <v>75</v>
      </c>
    </row>
    <row r="205" spans="1:17" x14ac:dyDescent="0.2">
      <c r="A205" t="s">
        <v>16</v>
      </c>
      <c r="B205" t="s">
        <v>53</v>
      </c>
      <c r="C205" t="s">
        <v>60</v>
      </c>
      <c r="E205" t="s">
        <v>100</v>
      </c>
      <c r="G205">
        <v>207618</v>
      </c>
      <c r="I205">
        <v>1</v>
      </c>
      <c r="J205">
        <v>0</v>
      </c>
      <c r="K205">
        <v>1</v>
      </c>
      <c r="L205">
        <v>1</v>
      </c>
      <c r="M205" t="s">
        <v>95</v>
      </c>
      <c r="O205">
        <f>21.9026-2.241</f>
        <v>19.6616</v>
      </c>
      <c r="P205" t="s">
        <v>72</v>
      </c>
      <c r="Q205" t="s">
        <v>75</v>
      </c>
    </row>
    <row r="206" spans="1:17" x14ac:dyDescent="0.2">
      <c r="A206" t="s">
        <v>16</v>
      </c>
      <c r="B206" t="s">
        <v>53</v>
      </c>
      <c r="C206" t="s">
        <v>60</v>
      </c>
      <c r="E206" t="s">
        <v>100</v>
      </c>
      <c r="G206">
        <v>207618</v>
      </c>
      <c r="I206">
        <v>1</v>
      </c>
      <c r="J206">
        <v>0</v>
      </c>
      <c r="K206">
        <v>1</v>
      </c>
      <c r="L206">
        <v>1</v>
      </c>
      <c r="M206" t="s">
        <v>96</v>
      </c>
      <c r="O206">
        <f>SUM(O204:O205)</f>
        <v>19.82</v>
      </c>
      <c r="P206" t="s">
        <v>98</v>
      </c>
      <c r="Q206" t="s">
        <v>75</v>
      </c>
    </row>
    <row r="207" spans="1:17" x14ac:dyDescent="0.2">
      <c r="A207" t="s">
        <v>16</v>
      </c>
      <c r="B207" t="s">
        <v>53</v>
      </c>
      <c r="C207" t="s">
        <v>60</v>
      </c>
      <c r="E207" t="s">
        <v>100</v>
      </c>
      <c r="G207">
        <v>207618</v>
      </c>
      <c r="I207">
        <v>1</v>
      </c>
      <c r="J207">
        <v>1</v>
      </c>
      <c r="K207">
        <v>1</v>
      </c>
      <c r="L207">
        <v>0.5</v>
      </c>
      <c r="M207" t="s">
        <v>97</v>
      </c>
      <c r="O207">
        <f>1.5948-0.1133</f>
        <v>1.4815</v>
      </c>
      <c r="P207" t="s">
        <v>72</v>
      </c>
      <c r="Q207" t="s">
        <v>75</v>
      </c>
    </row>
    <row r="208" spans="1:17" x14ac:dyDescent="0.2">
      <c r="A208" t="s">
        <v>16</v>
      </c>
      <c r="B208" t="s">
        <v>63</v>
      </c>
      <c r="C208" t="s">
        <v>64</v>
      </c>
      <c r="E208" t="s">
        <v>100</v>
      </c>
      <c r="G208">
        <v>207621</v>
      </c>
      <c r="I208">
        <v>1</v>
      </c>
      <c r="J208">
        <v>1</v>
      </c>
      <c r="K208">
        <v>0.05</v>
      </c>
      <c r="L208">
        <v>2.5000000000000001E-2</v>
      </c>
      <c r="M208" t="s">
        <v>79</v>
      </c>
      <c r="N208" t="s">
        <v>29</v>
      </c>
      <c r="O208">
        <v>1</v>
      </c>
      <c r="P208" t="s">
        <v>72</v>
      </c>
      <c r="Q208" t="s">
        <v>74</v>
      </c>
    </row>
    <row r="209" spans="1:17" x14ac:dyDescent="0.2">
      <c r="A209" t="s">
        <v>16</v>
      </c>
      <c r="B209" t="s">
        <v>63</v>
      </c>
      <c r="C209" t="s">
        <v>64</v>
      </c>
      <c r="E209" t="s">
        <v>100</v>
      </c>
      <c r="G209">
        <v>207621</v>
      </c>
      <c r="I209">
        <v>1</v>
      </c>
      <c r="J209">
        <v>1</v>
      </c>
      <c r="K209">
        <v>0.05</v>
      </c>
      <c r="L209">
        <v>2.5000000000000001E-2</v>
      </c>
      <c r="M209" t="s">
        <v>78</v>
      </c>
      <c r="N209" t="s">
        <v>85</v>
      </c>
      <c r="O209">
        <v>1</v>
      </c>
      <c r="P209" t="s">
        <v>72</v>
      </c>
      <c r="Q209" t="s">
        <v>74</v>
      </c>
    </row>
    <row r="210" spans="1:17" x14ac:dyDescent="0.2">
      <c r="A210" t="s">
        <v>16</v>
      </c>
      <c r="B210" t="s">
        <v>63</v>
      </c>
      <c r="C210" t="s">
        <v>64</v>
      </c>
      <c r="E210" t="s">
        <v>100</v>
      </c>
      <c r="G210">
        <v>207621</v>
      </c>
      <c r="I210">
        <v>1</v>
      </c>
      <c r="J210">
        <v>1</v>
      </c>
      <c r="K210">
        <v>0.05</v>
      </c>
      <c r="L210">
        <v>2.5000000000000001E-2</v>
      </c>
      <c r="M210" t="s">
        <v>78</v>
      </c>
      <c r="N210" s="2" t="s">
        <v>77</v>
      </c>
      <c r="O210">
        <v>2</v>
      </c>
      <c r="P210" t="s">
        <v>72</v>
      </c>
      <c r="Q210" t="s">
        <v>74</v>
      </c>
    </row>
    <row r="211" spans="1:17" x14ac:dyDescent="0.2">
      <c r="A211" t="s">
        <v>16</v>
      </c>
      <c r="B211" t="s">
        <v>63</v>
      </c>
      <c r="C211" t="s">
        <v>64</v>
      </c>
      <c r="E211" t="s">
        <v>100</v>
      </c>
      <c r="G211">
        <v>207621</v>
      </c>
      <c r="I211">
        <v>1</v>
      </c>
      <c r="J211">
        <v>1</v>
      </c>
      <c r="K211">
        <v>0.05</v>
      </c>
      <c r="L211">
        <v>2.5000000000000001E-2</v>
      </c>
      <c r="M211" t="s">
        <v>78</v>
      </c>
      <c r="N211" s="2" t="s">
        <v>83</v>
      </c>
      <c r="O211">
        <v>25</v>
      </c>
      <c r="P211" t="s">
        <v>72</v>
      </c>
      <c r="Q211" t="s">
        <v>74</v>
      </c>
    </row>
    <row r="212" spans="1:17" x14ac:dyDescent="0.2">
      <c r="A212" t="s">
        <v>16</v>
      </c>
      <c r="B212" t="s">
        <v>63</v>
      </c>
      <c r="C212" t="s">
        <v>64</v>
      </c>
      <c r="E212" t="s">
        <v>100</v>
      </c>
      <c r="G212">
        <v>207621</v>
      </c>
      <c r="I212">
        <v>1</v>
      </c>
      <c r="J212">
        <v>1</v>
      </c>
      <c r="K212">
        <v>0.05</v>
      </c>
      <c r="L212">
        <v>2.5000000000000001E-2</v>
      </c>
      <c r="M212" t="s">
        <v>78</v>
      </c>
      <c r="N212" s="2" t="s">
        <v>84</v>
      </c>
      <c r="O212">
        <v>1</v>
      </c>
      <c r="P212" t="s">
        <v>72</v>
      </c>
      <c r="Q212" t="s">
        <v>74</v>
      </c>
    </row>
    <row r="213" spans="1:17" x14ac:dyDescent="0.2">
      <c r="A213" t="s">
        <v>16</v>
      </c>
      <c r="B213" t="s">
        <v>63</v>
      </c>
      <c r="C213" t="s">
        <v>64</v>
      </c>
      <c r="E213" t="s">
        <v>100</v>
      </c>
      <c r="G213">
        <v>207621</v>
      </c>
      <c r="I213">
        <v>1</v>
      </c>
      <c r="J213">
        <v>1</v>
      </c>
      <c r="K213">
        <v>0.05</v>
      </c>
      <c r="L213">
        <v>2.5000000000000001E-2</v>
      </c>
      <c r="M213" t="s">
        <v>78</v>
      </c>
      <c r="N213" s="2" t="s">
        <v>41</v>
      </c>
      <c r="O213">
        <v>66</v>
      </c>
      <c r="P213" t="s">
        <v>72</v>
      </c>
      <c r="Q213" t="s">
        <v>74</v>
      </c>
    </row>
    <row r="214" spans="1:17" x14ac:dyDescent="0.2">
      <c r="A214" t="s">
        <v>16</v>
      </c>
      <c r="B214" t="s">
        <v>63</v>
      </c>
      <c r="C214" t="s">
        <v>64</v>
      </c>
      <c r="E214" t="s">
        <v>100</v>
      </c>
      <c r="G214">
        <v>207621</v>
      </c>
      <c r="I214">
        <v>1</v>
      </c>
      <c r="J214">
        <v>1</v>
      </c>
      <c r="K214">
        <v>0.05</v>
      </c>
      <c r="L214">
        <v>2.5000000000000001E-2</v>
      </c>
      <c r="M214" t="s">
        <v>34</v>
      </c>
      <c r="N214" s="2" t="s">
        <v>83</v>
      </c>
      <c r="O214">
        <v>2</v>
      </c>
      <c r="P214" t="s">
        <v>72</v>
      </c>
      <c r="Q214" t="s">
        <v>74</v>
      </c>
    </row>
    <row r="215" spans="1:17" x14ac:dyDescent="0.2">
      <c r="A215" t="s">
        <v>16</v>
      </c>
      <c r="B215" t="s">
        <v>63</v>
      </c>
      <c r="C215" t="s">
        <v>64</v>
      </c>
      <c r="E215" t="s">
        <v>100</v>
      </c>
      <c r="G215">
        <v>207621</v>
      </c>
      <c r="I215">
        <v>1</v>
      </c>
      <c r="J215">
        <v>1</v>
      </c>
      <c r="K215">
        <v>0.05</v>
      </c>
      <c r="L215">
        <v>2.5000000000000001E-2</v>
      </c>
      <c r="M215" t="s">
        <v>86</v>
      </c>
      <c r="N215" s="2" t="s">
        <v>85</v>
      </c>
      <c r="O215">
        <v>1</v>
      </c>
      <c r="P215" t="s">
        <v>72</v>
      </c>
      <c r="Q215" t="s">
        <v>74</v>
      </c>
    </row>
    <row r="216" spans="1:17" x14ac:dyDescent="0.2">
      <c r="A216" t="s">
        <v>16</v>
      </c>
      <c r="B216" t="s">
        <v>63</v>
      </c>
      <c r="C216" t="s">
        <v>64</v>
      </c>
      <c r="E216" t="s">
        <v>100</v>
      </c>
      <c r="G216">
        <v>207621</v>
      </c>
      <c r="I216">
        <v>1</v>
      </c>
      <c r="J216">
        <v>1</v>
      </c>
      <c r="K216">
        <v>0.05</v>
      </c>
      <c r="L216">
        <v>2.5000000000000001E-2</v>
      </c>
      <c r="M216" t="s">
        <v>86</v>
      </c>
      <c r="N216" s="2" t="s">
        <v>83</v>
      </c>
      <c r="O216">
        <v>12</v>
      </c>
      <c r="P216" t="s">
        <v>72</v>
      </c>
      <c r="Q216" t="s">
        <v>74</v>
      </c>
    </row>
    <row r="217" spans="1:17" x14ac:dyDescent="0.2">
      <c r="A217" t="s">
        <v>16</v>
      </c>
      <c r="B217" t="s">
        <v>63</v>
      </c>
      <c r="C217" t="s">
        <v>64</v>
      </c>
      <c r="E217" t="s">
        <v>100</v>
      </c>
      <c r="G217">
        <v>207621</v>
      </c>
      <c r="I217">
        <v>1</v>
      </c>
      <c r="J217">
        <v>1</v>
      </c>
      <c r="K217">
        <v>0.05</v>
      </c>
      <c r="L217">
        <v>2.5000000000000001E-2</v>
      </c>
      <c r="M217" t="s">
        <v>86</v>
      </c>
      <c r="N217" s="2" t="s">
        <v>41</v>
      </c>
      <c r="O217">
        <v>46</v>
      </c>
      <c r="P217" t="s">
        <v>72</v>
      </c>
      <c r="Q217" t="s">
        <v>74</v>
      </c>
    </row>
    <row r="218" spans="1:17" x14ac:dyDescent="0.2">
      <c r="A218" t="s">
        <v>16</v>
      </c>
      <c r="B218" t="s">
        <v>63</v>
      </c>
      <c r="C218" t="s">
        <v>64</v>
      </c>
      <c r="E218" t="s">
        <v>100</v>
      </c>
      <c r="G218">
        <v>207621</v>
      </c>
      <c r="I218">
        <v>1</v>
      </c>
      <c r="J218">
        <v>1</v>
      </c>
      <c r="K218">
        <v>0.05</v>
      </c>
      <c r="L218">
        <v>2.5000000000000001E-2</v>
      </c>
      <c r="M218" t="s">
        <v>34</v>
      </c>
      <c r="N218" t="s">
        <v>41</v>
      </c>
      <c r="O218">
        <v>11</v>
      </c>
      <c r="P218" t="s">
        <v>72</v>
      </c>
      <c r="Q218" t="s">
        <v>74</v>
      </c>
    </row>
    <row r="219" spans="1:17" x14ac:dyDescent="0.2">
      <c r="A219" t="s">
        <v>16</v>
      </c>
      <c r="B219" t="s">
        <v>63</v>
      </c>
      <c r="C219" t="s">
        <v>64</v>
      </c>
      <c r="E219" t="s">
        <v>100</v>
      </c>
      <c r="G219">
        <v>207621</v>
      </c>
      <c r="I219">
        <v>1</v>
      </c>
      <c r="J219">
        <v>1</v>
      </c>
      <c r="K219">
        <v>0.05</v>
      </c>
      <c r="L219">
        <v>2.5000000000000001E-2</v>
      </c>
      <c r="M219" t="s">
        <v>69</v>
      </c>
      <c r="N219" t="s">
        <v>33</v>
      </c>
      <c r="O219">
        <v>1</v>
      </c>
      <c r="P219" t="s">
        <v>72</v>
      </c>
      <c r="Q219" t="s">
        <v>74</v>
      </c>
    </row>
    <row r="220" spans="1:17" x14ac:dyDescent="0.2">
      <c r="A220" t="s">
        <v>16</v>
      </c>
      <c r="B220" t="s">
        <v>63</v>
      </c>
      <c r="C220" t="s">
        <v>64</v>
      </c>
      <c r="E220" t="s">
        <v>100</v>
      </c>
      <c r="G220">
        <v>207621</v>
      </c>
      <c r="I220">
        <v>1</v>
      </c>
      <c r="J220">
        <v>1</v>
      </c>
      <c r="K220">
        <v>0.05</v>
      </c>
      <c r="L220">
        <v>2.5000000000000001E-2</v>
      </c>
      <c r="M220" t="s">
        <v>70</v>
      </c>
      <c r="N220" t="s">
        <v>90</v>
      </c>
      <c r="O220">
        <v>29</v>
      </c>
      <c r="P220" t="s">
        <v>72</v>
      </c>
      <c r="Q220" t="s">
        <v>74</v>
      </c>
    </row>
    <row r="221" spans="1:17" x14ac:dyDescent="0.2">
      <c r="A221" t="s">
        <v>16</v>
      </c>
      <c r="B221" t="s">
        <v>63</v>
      </c>
      <c r="C221" t="s">
        <v>64</v>
      </c>
      <c r="E221" t="s">
        <v>100</v>
      </c>
      <c r="G221">
        <v>207621</v>
      </c>
      <c r="I221">
        <v>1</v>
      </c>
      <c r="J221">
        <v>1</v>
      </c>
      <c r="K221">
        <v>0.05</v>
      </c>
      <c r="L221">
        <v>2.5000000000000001E-2</v>
      </c>
      <c r="M221" t="s">
        <v>70</v>
      </c>
      <c r="N221" t="s">
        <v>33</v>
      </c>
      <c r="O221">
        <v>1</v>
      </c>
      <c r="P221" t="s">
        <v>72</v>
      </c>
      <c r="Q221" t="s">
        <v>74</v>
      </c>
    </row>
    <row r="222" spans="1:17" x14ac:dyDescent="0.2">
      <c r="A222" t="s">
        <v>16</v>
      </c>
      <c r="B222" t="s">
        <v>63</v>
      </c>
      <c r="C222" t="s">
        <v>64</v>
      </c>
      <c r="E222" t="s">
        <v>100</v>
      </c>
      <c r="G222">
        <v>207621</v>
      </c>
      <c r="I222">
        <v>1</v>
      </c>
      <c r="J222">
        <v>1</v>
      </c>
      <c r="K222">
        <v>0.05</v>
      </c>
      <c r="L222">
        <v>2.5000000000000001E-2</v>
      </c>
      <c r="M222" t="s">
        <v>94</v>
      </c>
      <c r="N222" t="s">
        <v>92</v>
      </c>
      <c r="O222">
        <v>1</v>
      </c>
      <c r="P222" t="s">
        <v>72</v>
      </c>
      <c r="Q222" t="s">
        <v>74</v>
      </c>
    </row>
    <row r="223" spans="1:17" x14ac:dyDescent="0.2">
      <c r="A223" t="s">
        <v>16</v>
      </c>
      <c r="B223" t="s">
        <v>63</v>
      </c>
      <c r="C223" t="s">
        <v>64</v>
      </c>
      <c r="E223" t="s">
        <v>100</v>
      </c>
      <c r="G223">
        <v>207621</v>
      </c>
      <c r="I223">
        <v>1</v>
      </c>
      <c r="J223">
        <v>1</v>
      </c>
      <c r="K223">
        <v>0.05</v>
      </c>
      <c r="L223">
        <v>2.5000000000000001E-2</v>
      </c>
      <c r="M223" t="s">
        <v>94</v>
      </c>
      <c r="N223" t="s">
        <v>29</v>
      </c>
      <c r="O223">
        <v>2</v>
      </c>
      <c r="P223" t="s">
        <v>72</v>
      </c>
      <c r="Q223" t="s">
        <v>74</v>
      </c>
    </row>
    <row r="224" spans="1:17" x14ac:dyDescent="0.2">
      <c r="A224" t="s">
        <v>16</v>
      </c>
      <c r="B224" t="s">
        <v>63</v>
      </c>
      <c r="C224" t="s">
        <v>64</v>
      </c>
      <c r="E224" t="s">
        <v>100</v>
      </c>
      <c r="G224">
        <v>207621</v>
      </c>
      <c r="I224">
        <v>1</v>
      </c>
      <c r="J224">
        <v>1</v>
      </c>
      <c r="K224">
        <v>0.05</v>
      </c>
      <c r="L224">
        <v>2.5000000000000001E-2</v>
      </c>
      <c r="M224" t="s">
        <v>94</v>
      </c>
      <c r="N224" t="s">
        <v>76</v>
      </c>
      <c r="O224">
        <v>1</v>
      </c>
      <c r="P224" t="s">
        <v>72</v>
      </c>
      <c r="Q224" t="s">
        <v>74</v>
      </c>
    </row>
    <row r="225" spans="1:17" x14ac:dyDescent="0.2">
      <c r="A225" t="s">
        <v>16</v>
      </c>
      <c r="B225" t="s">
        <v>63</v>
      </c>
      <c r="C225" t="s">
        <v>64</v>
      </c>
      <c r="E225" t="s">
        <v>100</v>
      </c>
      <c r="G225">
        <v>207621</v>
      </c>
      <c r="I225">
        <v>1</v>
      </c>
      <c r="J225">
        <v>1</v>
      </c>
      <c r="K225">
        <v>0.05</v>
      </c>
      <c r="L225">
        <v>2.5000000000000001E-2</v>
      </c>
      <c r="M225" t="s">
        <v>20</v>
      </c>
      <c r="O225">
        <v>4</v>
      </c>
      <c r="P225" t="s">
        <v>72</v>
      </c>
      <c r="Q225" t="s">
        <v>74</v>
      </c>
    </row>
    <row r="226" spans="1:17" x14ac:dyDescent="0.2">
      <c r="A226" t="s">
        <v>16</v>
      </c>
      <c r="B226" t="s">
        <v>63</v>
      </c>
      <c r="C226" t="s">
        <v>64</v>
      </c>
      <c r="E226" t="s">
        <v>100</v>
      </c>
      <c r="G226">
        <v>207621</v>
      </c>
      <c r="I226">
        <v>1</v>
      </c>
      <c r="J226">
        <v>1</v>
      </c>
      <c r="K226">
        <v>0.05</v>
      </c>
      <c r="L226">
        <v>2.5000000000000001E-2</v>
      </c>
      <c r="M226" t="s">
        <v>23</v>
      </c>
      <c r="O226">
        <v>19</v>
      </c>
      <c r="P226" t="s">
        <v>72</v>
      </c>
      <c r="Q226" t="s">
        <v>74</v>
      </c>
    </row>
    <row r="227" spans="1:17" x14ac:dyDescent="0.2">
      <c r="A227" t="s">
        <v>16</v>
      </c>
      <c r="B227" t="s">
        <v>63</v>
      </c>
      <c r="C227" t="s">
        <v>64</v>
      </c>
      <c r="E227" t="s">
        <v>100</v>
      </c>
      <c r="G227">
        <v>207621</v>
      </c>
      <c r="I227">
        <v>1</v>
      </c>
      <c r="J227">
        <v>1</v>
      </c>
      <c r="K227">
        <v>0.05</v>
      </c>
      <c r="L227">
        <v>2.5000000000000001E-2</v>
      </c>
      <c r="M227" t="s">
        <v>36</v>
      </c>
      <c r="N227" t="s">
        <v>37</v>
      </c>
      <c r="O227">
        <v>1</v>
      </c>
      <c r="P227" t="s">
        <v>72</v>
      </c>
      <c r="Q227" t="s">
        <v>74</v>
      </c>
    </row>
    <row r="228" spans="1:17" x14ac:dyDescent="0.2">
      <c r="A228" t="s">
        <v>16</v>
      </c>
      <c r="B228" t="s">
        <v>63</v>
      </c>
      <c r="C228" t="s">
        <v>64</v>
      </c>
      <c r="E228" t="s">
        <v>100</v>
      </c>
      <c r="G228">
        <v>207621</v>
      </c>
      <c r="I228">
        <v>1</v>
      </c>
      <c r="J228">
        <v>1</v>
      </c>
      <c r="K228">
        <v>0.05</v>
      </c>
      <c r="L228">
        <v>2.5000000000000001E-2</v>
      </c>
      <c r="M228" t="s">
        <v>27</v>
      </c>
      <c r="O228">
        <v>28</v>
      </c>
      <c r="P228" t="s">
        <v>72</v>
      </c>
      <c r="Q228" t="s">
        <v>74</v>
      </c>
    </row>
    <row r="229" spans="1:17" x14ac:dyDescent="0.2">
      <c r="A229" t="s">
        <v>16</v>
      </c>
      <c r="B229" t="s">
        <v>63</v>
      </c>
      <c r="C229" t="s">
        <v>64</v>
      </c>
      <c r="E229" t="s">
        <v>100</v>
      </c>
      <c r="G229">
        <v>207621</v>
      </c>
      <c r="I229">
        <v>1</v>
      </c>
      <c r="J229">
        <v>1</v>
      </c>
      <c r="K229">
        <v>0.05</v>
      </c>
      <c r="L229">
        <v>2.5000000000000001E-2</v>
      </c>
      <c r="M229" t="s">
        <v>19</v>
      </c>
      <c r="O229">
        <v>1</v>
      </c>
      <c r="P229" t="s">
        <v>72</v>
      </c>
      <c r="Q229" t="s">
        <v>74</v>
      </c>
    </row>
    <row r="230" spans="1:17" x14ac:dyDescent="0.2">
      <c r="A230" t="s">
        <v>16</v>
      </c>
      <c r="B230" t="s">
        <v>63</v>
      </c>
      <c r="C230" t="s">
        <v>64</v>
      </c>
      <c r="E230" t="s">
        <v>100</v>
      </c>
      <c r="G230">
        <v>207621</v>
      </c>
      <c r="I230">
        <v>1</v>
      </c>
      <c r="J230">
        <v>1</v>
      </c>
      <c r="K230">
        <v>0.05</v>
      </c>
      <c r="L230">
        <v>2.5000000000000001E-2</v>
      </c>
      <c r="M230" t="s">
        <v>44</v>
      </c>
      <c r="O230">
        <v>5</v>
      </c>
      <c r="P230" t="s">
        <v>72</v>
      </c>
      <c r="Q230" t="s">
        <v>74</v>
      </c>
    </row>
    <row r="231" spans="1:17" x14ac:dyDescent="0.2">
      <c r="A231" t="s">
        <v>16</v>
      </c>
      <c r="B231" t="s">
        <v>63</v>
      </c>
      <c r="C231" t="s">
        <v>64</v>
      </c>
      <c r="E231" t="s">
        <v>100</v>
      </c>
      <c r="G231">
        <v>207621</v>
      </c>
      <c r="I231">
        <v>1</v>
      </c>
      <c r="J231">
        <v>0</v>
      </c>
      <c r="K231">
        <v>1</v>
      </c>
      <c r="L231">
        <v>1</v>
      </c>
      <c r="M231" t="s">
        <v>43</v>
      </c>
      <c r="O231">
        <v>2</v>
      </c>
      <c r="P231" t="s">
        <v>73</v>
      </c>
      <c r="Q231" t="s">
        <v>74</v>
      </c>
    </row>
    <row r="232" spans="1:17" x14ac:dyDescent="0.2">
      <c r="A232" t="s">
        <v>16</v>
      </c>
      <c r="B232" t="s">
        <v>63</v>
      </c>
      <c r="C232" t="s">
        <v>64</v>
      </c>
      <c r="E232" t="s">
        <v>100</v>
      </c>
      <c r="G232">
        <v>207621</v>
      </c>
      <c r="I232">
        <v>1</v>
      </c>
      <c r="J232">
        <v>0</v>
      </c>
      <c r="K232">
        <v>1</v>
      </c>
      <c r="L232">
        <v>1</v>
      </c>
      <c r="M232" t="s">
        <v>65</v>
      </c>
      <c r="N232" t="s">
        <v>66</v>
      </c>
      <c r="O232">
        <v>1</v>
      </c>
      <c r="P232" t="s">
        <v>73</v>
      </c>
      <c r="Q232" t="s">
        <v>74</v>
      </c>
    </row>
    <row r="233" spans="1:17" x14ac:dyDescent="0.2">
      <c r="A233" t="s">
        <v>16</v>
      </c>
      <c r="B233" t="s">
        <v>63</v>
      </c>
      <c r="C233" t="s">
        <v>64</v>
      </c>
      <c r="E233" t="s">
        <v>100</v>
      </c>
      <c r="G233">
        <v>207621</v>
      </c>
      <c r="I233">
        <v>1</v>
      </c>
      <c r="J233">
        <v>0</v>
      </c>
      <c r="K233">
        <v>1</v>
      </c>
      <c r="L233">
        <v>1</v>
      </c>
      <c r="M233" t="s">
        <v>47</v>
      </c>
      <c r="O233">
        <v>13</v>
      </c>
      <c r="P233" t="s">
        <v>73</v>
      </c>
      <c r="Q233" t="s">
        <v>74</v>
      </c>
    </row>
    <row r="234" spans="1:17" x14ac:dyDescent="0.2">
      <c r="A234" t="s">
        <v>16</v>
      </c>
      <c r="B234" t="s">
        <v>63</v>
      </c>
      <c r="C234" t="s">
        <v>64</v>
      </c>
      <c r="E234" t="s">
        <v>100</v>
      </c>
      <c r="G234">
        <v>207621</v>
      </c>
      <c r="I234">
        <v>1</v>
      </c>
      <c r="J234">
        <v>0</v>
      </c>
      <c r="K234">
        <v>1</v>
      </c>
      <c r="L234">
        <v>1</v>
      </c>
      <c r="M234" t="s">
        <v>43</v>
      </c>
      <c r="O234">
        <v>0.15179999999999999</v>
      </c>
      <c r="P234" t="s">
        <v>73</v>
      </c>
      <c r="Q234" t="s">
        <v>75</v>
      </c>
    </row>
    <row r="235" spans="1:17" x14ac:dyDescent="0.2">
      <c r="A235" t="s">
        <v>16</v>
      </c>
      <c r="B235" t="s">
        <v>63</v>
      </c>
      <c r="C235" t="s">
        <v>64</v>
      </c>
      <c r="E235" t="s">
        <v>100</v>
      </c>
      <c r="G235">
        <v>207621</v>
      </c>
      <c r="I235">
        <v>1</v>
      </c>
      <c r="J235">
        <v>0</v>
      </c>
      <c r="K235">
        <v>1</v>
      </c>
      <c r="L235">
        <v>1</v>
      </c>
      <c r="M235" t="s">
        <v>65</v>
      </c>
      <c r="N235" t="s">
        <v>66</v>
      </c>
      <c r="O235">
        <v>1.1299999999999999E-2</v>
      </c>
      <c r="P235" t="s">
        <v>73</v>
      </c>
      <c r="Q235" t="s">
        <v>75</v>
      </c>
    </row>
    <row r="236" spans="1:17" x14ac:dyDescent="0.2">
      <c r="A236" t="s">
        <v>16</v>
      </c>
      <c r="B236" t="s">
        <v>63</v>
      </c>
      <c r="C236" t="s">
        <v>64</v>
      </c>
      <c r="E236" t="s">
        <v>100</v>
      </c>
      <c r="G236">
        <v>207621</v>
      </c>
      <c r="I236">
        <v>1</v>
      </c>
      <c r="J236">
        <v>0</v>
      </c>
      <c r="K236">
        <v>1</v>
      </c>
      <c r="L236">
        <v>1</v>
      </c>
      <c r="M236" t="s">
        <v>47</v>
      </c>
      <c r="O236">
        <v>0.56659999999999999</v>
      </c>
      <c r="P236" t="s">
        <v>73</v>
      </c>
      <c r="Q236" t="s">
        <v>75</v>
      </c>
    </row>
    <row r="237" spans="1:17" x14ac:dyDescent="0.2">
      <c r="A237" t="s">
        <v>16</v>
      </c>
      <c r="B237" t="s">
        <v>63</v>
      </c>
      <c r="C237" t="s">
        <v>64</v>
      </c>
      <c r="E237" t="s">
        <v>100</v>
      </c>
      <c r="G237">
        <v>207621</v>
      </c>
      <c r="I237">
        <v>1</v>
      </c>
      <c r="J237">
        <v>0</v>
      </c>
      <c r="K237">
        <v>1</v>
      </c>
      <c r="L237">
        <v>1</v>
      </c>
      <c r="M237" t="s">
        <v>95</v>
      </c>
      <c r="O237">
        <f>SUM(O234:O236)</f>
        <v>0.72970000000000002</v>
      </c>
      <c r="P237" t="s">
        <v>73</v>
      </c>
      <c r="Q237" t="s">
        <v>75</v>
      </c>
    </row>
    <row r="238" spans="1:17" x14ac:dyDescent="0.2">
      <c r="A238" t="s">
        <v>16</v>
      </c>
      <c r="B238" t="s">
        <v>63</v>
      </c>
      <c r="C238" t="s">
        <v>64</v>
      </c>
      <c r="E238" t="s">
        <v>100</v>
      </c>
      <c r="G238">
        <v>207621</v>
      </c>
      <c r="I238">
        <v>1</v>
      </c>
      <c r="J238">
        <v>0</v>
      </c>
      <c r="K238">
        <v>1</v>
      </c>
      <c r="L238">
        <v>1</v>
      </c>
      <c r="M238" t="s">
        <v>95</v>
      </c>
      <c r="O238">
        <f>16.1824-0.2403</f>
        <v>15.942100000000002</v>
      </c>
      <c r="P238" t="s">
        <v>72</v>
      </c>
      <c r="Q238" t="s">
        <v>75</v>
      </c>
    </row>
    <row r="239" spans="1:17" x14ac:dyDescent="0.2">
      <c r="A239" t="s">
        <v>16</v>
      </c>
      <c r="B239" t="s">
        <v>63</v>
      </c>
      <c r="C239" t="s">
        <v>64</v>
      </c>
      <c r="E239" t="s">
        <v>100</v>
      </c>
      <c r="G239">
        <v>207621</v>
      </c>
      <c r="I239">
        <v>1</v>
      </c>
      <c r="J239">
        <v>0</v>
      </c>
      <c r="K239">
        <v>1</v>
      </c>
      <c r="L239">
        <v>1</v>
      </c>
      <c r="M239" t="s">
        <v>96</v>
      </c>
      <c r="O239">
        <f>SUM(O237:O238)</f>
        <v>16.671800000000001</v>
      </c>
      <c r="P239" t="s">
        <v>98</v>
      </c>
      <c r="Q239" t="s">
        <v>75</v>
      </c>
    </row>
    <row r="240" spans="1:17" x14ac:dyDescent="0.2">
      <c r="A240" t="s">
        <v>16</v>
      </c>
      <c r="B240" t="s">
        <v>63</v>
      </c>
      <c r="C240" t="s">
        <v>64</v>
      </c>
      <c r="E240" t="s">
        <v>100</v>
      </c>
      <c r="G240">
        <v>207621</v>
      </c>
      <c r="I240">
        <v>1</v>
      </c>
      <c r="J240">
        <v>1</v>
      </c>
      <c r="K240">
        <v>1</v>
      </c>
      <c r="L240">
        <v>0.5</v>
      </c>
      <c r="M240" t="s">
        <v>97</v>
      </c>
      <c r="O240">
        <f>1.2399-0.1074</f>
        <v>1.1325000000000001</v>
      </c>
      <c r="P240" t="s">
        <v>72</v>
      </c>
      <c r="Q240" t="s">
        <v>75</v>
      </c>
    </row>
    <row r="241" spans="1:17" x14ac:dyDescent="0.2">
      <c r="A241" t="s">
        <v>16</v>
      </c>
      <c r="B241" t="s">
        <v>63</v>
      </c>
      <c r="C241" t="s">
        <v>68</v>
      </c>
      <c r="E241" t="s">
        <v>100</v>
      </c>
      <c r="G241">
        <v>207642</v>
      </c>
      <c r="I241">
        <v>1</v>
      </c>
      <c r="J241">
        <v>1</v>
      </c>
      <c r="K241">
        <v>0.03</v>
      </c>
      <c r="L241">
        <v>1.4999999999999999E-2</v>
      </c>
      <c r="M241" t="s">
        <v>79</v>
      </c>
      <c r="N241" t="s">
        <v>29</v>
      </c>
      <c r="O241">
        <v>1</v>
      </c>
      <c r="P241" t="s">
        <v>72</v>
      </c>
      <c r="Q241" t="s">
        <v>74</v>
      </c>
    </row>
    <row r="242" spans="1:17" x14ac:dyDescent="0.2">
      <c r="A242" t="s">
        <v>16</v>
      </c>
      <c r="B242" t="s">
        <v>63</v>
      </c>
      <c r="C242" t="s">
        <v>68</v>
      </c>
      <c r="E242" t="s">
        <v>100</v>
      </c>
      <c r="G242">
        <v>207642</v>
      </c>
      <c r="I242">
        <v>1</v>
      </c>
      <c r="J242">
        <v>1</v>
      </c>
      <c r="K242">
        <v>0.03</v>
      </c>
      <c r="L242">
        <v>1.4999999999999999E-2</v>
      </c>
      <c r="M242" t="s">
        <v>87</v>
      </c>
      <c r="N242" t="s">
        <v>81</v>
      </c>
      <c r="O242">
        <v>3</v>
      </c>
      <c r="P242" t="s">
        <v>72</v>
      </c>
      <c r="Q242" t="s">
        <v>74</v>
      </c>
    </row>
    <row r="243" spans="1:17" x14ac:dyDescent="0.2">
      <c r="A243" t="s">
        <v>16</v>
      </c>
      <c r="B243" t="s">
        <v>63</v>
      </c>
      <c r="C243" t="s">
        <v>68</v>
      </c>
      <c r="E243" t="s">
        <v>100</v>
      </c>
      <c r="G243">
        <v>207642</v>
      </c>
      <c r="I243">
        <v>1</v>
      </c>
      <c r="J243">
        <v>1</v>
      </c>
      <c r="K243">
        <v>0.03</v>
      </c>
      <c r="L243">
        <v>1.4999999999999999E-2</v>
      </c>
      <c r="M243" t="s">
        <v>87</v>
      </c>
      <c r="N243" t="s">
        <v>82</v>
      </c>
      <c r="O243">
        <v>2</v>
      </c>
      <c r="P243" t="s">
        <v>72</v>
      </c>
      <c r="Q243" t="s">
        <v>74</v>
      </c>
    </row>
    <row r="244" spans="1:17" x14ac:dyDescent="0.2">
      <c r="A244" t="s">
        <v>16</v>
      </c>
      <c r="B244" t="s">
        <v>63</v>
      </c>
      <c r="C244" t="s">
        <v>68</v>
      </c>
      <c r="E244" t="s">
        <v>100</v>
      </c>
      <c r="G244">
        <v>207642</v>
      </c>
      <c r="I244">
        <v>1</v>
      </c>
      <c r="J244">
        <v>1</v>
      </c>
      <c r="K244">
        <v>0.03</v>
      </c>
      <c r="L244">
        <v>1.4999999999999999E-2</v>
      </c>
      <c r="M244" t="s">
        <v>87</v>
      </c>
      <c r="N244" t="s">
        <v>77</v>
      </c>
      <c r="O244">
        <v>4</v>
      </c>
      <c r="P244" t="s">
        <v>72</v>
      </c>
      <c r="Q244" t="s">
        <v>74</v>
      </c>
    </row>
    <row r="245" spans="1:17" x14ac:dyDescent="0.2">
      <c r="A245" t="s">
        <v>16</v>
      </c>
      <c r="B245" t="s">
        <v>63</v>
      </c>
      <c r="C245" t="s">
        <v>68</v>
      </c>
      <c r="E245" t="s">
        <v>100</v>
      </c>
      <c r="G245">
        <v>207642</v>
      </c>
      <c r="I245">
        <v>1</v>
      </c>
      <c r="J245">
        <v>1</v>
      </c>
      <c r="K245">
        <v>0.03</v>
      </c>
      <c r="L245">
        <v>1.4999999999999999E-2</v>
      </c>
      <c r="M245" t="s">
        <v>87</v>
      </c>
      <c r="N245" t="s">
        <v>83</v>
      </c>
      <c r="O245">
        <v>33</v>
      </c>
      <c r="P245" t="s">
        <v>72</v>
      </c>
      <c r="Q245" t="s">
        <v>74</v>
      </c>
    </row>
    <row r="246" spans="1:17" x14ac:dyDescent="0.2">
      <c r="A246" t="s">
        <v>16</v>
      </c>
      <c r="B246" t="s">
        <v>63</v>
      </c>
      <c r="C246" t="s">
        <v>68</v>
      </c>
      <c r="E246" t="s">
        <v>100</v>
      </c>
      <c r="G246">
        <v>207642</v>
      </c>
      <c r="I246">
        <v>1</v>
      </c>
      <c r="J246">
        <v>1</v>
      </c>
      <c r="K246">
        <v>0.03</v>
      </c>
      <c r="L246">
        <v>1.4999999999999999E-2</v>
      </c>
      <c r="M246" t="s">
        <v>87</v>
      </c>
      <c r="N246" t="s">
        <v>41</v>
      </c>
      <c r="O246">
        <v>65</v>
      </c>
      <c r="P246" t="s">
        <v>72</v>
      </c>
      <c r="Q246" t="s">
        <v>74</v>
      </c>
    </row>
    <row r="247" spans="1:17" x14ac:dyDescent="0.2">
      <c r="A247" t="s">
        <v>16</v>
      </c>
      <c r="B247" t="s">
        <v>63</v>
      </c>
      <c r="C247" t="s">
        <v>68</v>
      </c>
      <c r="E247" t="s">
        <v>100</v>
      </c>
      <c r="G247">
        <v>207642</v>
      </c>
      <c r="I247">
        <v>1</v>
      </c>
      <c r="J247">
        <v>1</v>
      </c>
      <c r="K247">
        <v>0.03</v>
      </c>
      <c r="L247">
        <v>1.4999999999999999E-2</v>
      </c>
      <c r="M247" t="s">
        <v>34</v>
      </c>
      <c r="N247" t="s">
        <v>41</v>
      </c>
      <c r="O247">
        <v>8</v>
      </c>
      <c r="P247" t="s">
        <v>72</v>
      </c>
      <c r="Q247" t="s">
        <v>74</v>
      </c>
    </row>
    <row r="248" spans="1:17" x14ac:dyDescent="0.2">
      <c r="A248" t="s">
        <v>16</v>
      </c>
      <c r="B248" t="s">
        <v>63</v>
      </c>
      <c r="C248" t="s">
        <v>68</v>
      </c>
      <c r="E248" t="s">
        <v>100</v>
      </c>
      <c r="G248">
        <v>207642</v>
      </c>
      <c r="I248">
        <v>1</v>
      </c>
      <c r="J248">
        <v>1</v>
      </c>
      <c r="K248">
        <v>0.03</v>
      </c>
      <c r="L248">
        <v>1.4999999999999999E-2</v>
      </c>
      <c r="M248" t="s">
        <v>88</v>
      </c>
      <c r="N248" t="s">
        <v>41</v>
      </c>
      <c r="O248">
        <v>26</v>
      </c>
      <c r="P248" t="s">
        <v>72</v>
      </c>
      <c r="Q248" t="s">
        <v>74</v>
      </c>
    </row>
    <row r="249" spans="1:17" x14ac:dyDescent="0.2">
      <c r="A249" t="s">
        <v>16</v>
      </c>
      <c r="B249" t="s">
        <v>63</v>
      </c>
      <c r="C249" t="s">
        <v>68</v>
      </c>
      <c r="E249" t="s">
        <v>100</v>
      </c>
      <c r="G249">
        <v>207642</v>
      </c>
      <c r="I249">
        <v>1</v>
      </c>
      <c r="J249">
        <v>1</v>
      </c>
      <c r="K249">
        <v>0.03</v>
      </c>
      <c r="L249">
        <v>1.4999999999999999E-2</v>
      </c>
      <c r="M249" t="s">
        <v>69</v>
      </c>
      <c r="N249" t="s">
        <v>33</v>
      </c>
      <c r="O249">
        <v>5</v>
      </c>
      <c r="P249" t="s">
        <v>72</v>
      </c>
      <c r="Q249" t="s">
        <v>74</v>
      </c>
    </row>
    <row r="250" spans="1:17" x14ac:dyDescent="0.2">
      <c r="A250" t="s">
        <v>16</v>
      </c>
      <c r="B250" t="s">
        <v>63</v>
      </c>
      <c r="C250" t="s">
        <v>68</v>
      </c>
      <c r="E250" t="s">
        <v>100</v>
      </c>
      <c r="G250">
        <v>207642</v>
      </c>
      <c r="I250">
        <v>1</v>
      </c>
      <c r="J250">
        <v>1</v>
      </c>
      <c r="K250">
        <v>0.03</v>
      </c>
      <c r="L250">
        <v>1.4999999999999999E-2</v>
      </c>
      <c r="M250" t="s">
        <v>70</v>
      </c>
      <c r="N250" t="s">
        <v>90</v>
      </c>
      <c r="O250">
        <v>27</v>
      </c>
      <c r="P250" t="s">
        <v>72</v>
      </c>
      <c r="Q250" t="s">
        <v>74</v>
      </c>
    </row>
    <row r="251" spans="1:17" x14ac:dyDescent="0.2">
      <c r="A251" t="s">
        <v>16</v>
      </c>
      <c r="B251" t="s">
        <v>63</v>
      </c>
      <c r="C251" t="s">
        <v>68</v>
      </c>
      <c r="E251" t="s">
        <v>100</v>
      </c>
      <c r="G251">
        <v>207642</v>
      </c>
      <c r="I251">
        <v>1</v>
      </c>
      <c r="J251">
        <v>1</v>
      </c>
      <c r="K251">
        <v>0.03</v>
      </c>
      <c r="L251">
        <v>1.4999999999999999E-2</v>
      </c>
      <c r="M251" t="s">
        <v>70</v>
      </c>
      <c r="N251" t="s">
        <v>33</v>
      </c>
      <c r="O251">
        <v>6</v>
      </c>
      <c r="P251" t="s">
        <v>72</v>
      </c>
      <c r="Q251" t="s">
        <v>74</v>
      </c>
    </row>
    <row r="252" spans="1:17" x14ac:dyDescent="0.2">
      <c r="A252" t="s">
        <v>16</v>
      </c>
      <c r="B252" t="s">
        <v>63</v>
      </c>
      <c r="C252" t="s">
        <v>68</v>
      </c>
      <c r="E252" t="s">
        <v>100</v>
      </c>
      <c r="G252">
        <v>207642</v>
      </c>
      <c r="I252">
        <v>1</v>
      </c>
      <c r="J252">
        <v>1</v>
      </c>
      <c r="K252">
        <v>0.03</v>
      </c>
      <c r="L252">
        <v>1.4999999999999999E-2</v>
      </c>
      <c r="M252" t="s">
        <v>28</v>
      </c>
      <c r="O252">
        <v>1</v>
      </c>
      <c r="P252" t="s">
        <v>72</v>
      </c>
      <c r="Q252" t="s">
        <v>74</v>
      </c>
    </row>
    <row r="253" spans="1:17" x14ac:dyDescent="0.2">
      <c r="A253" t="s">
        <v>16</v>
      </c>
      <c r="B253" t="s">
        <v>63</v>
      </c>
      <c r="C253" t="s">
        <v>68</v>
      </c>
      <c r="E253" t="s">
        <v>100</v>
      </c>
      <c r="G253">
        <v>207642</v>
      </c>
      <c r="I253">
        <v>1</v>
      </c>
      <c r="J253">
        <v>1</v>
      </c>
      <c r="K253">
        <v>0.03</v>
      </c>
      <c r="L253">
        <v>1.4999999999999999E-2</v>
      </c>
      <c r="M253" t="s">
        <v>42</v>
      </c>
      <c r="N253" t="s">
        <v>33</v>
      </c>
      <c r="O253">
        <v>2</v>
      </c>
      <c r="P253" t="s">
        <v>72</v>
      </c>
      <c r="Q253" t="s">
        <v>74</v>
      </c>
    </row>
    <row r="254" spans="1:17" x14ac:dyDescent="0.2">
      <c r="A254" t="s">
        <v>16</v>
      </c>
      <c r="B254" t="s">
        <v>63</v>
      </c>
      <c r="C254" t="s">
        <v>68</v>
      </c>
      <c r="E254" t="s">
        <v>100</v>
      </c>
      <c r="G254">
        <v>207642</v>
      </c>
      <c r="I254">
        <v>1</v>
      </c>
      <c r="J254">
        <v>1</v>
      </c>
      <c r="K254">
        <v>0.03</v>
      </c>
      <c r="L254">
        <v>1.4999999999999999E-2</v>
      </c>
      <c r="M254" t="s">
        <v>31</v>
      </c>
      <c r="O254">
        <v>3</v>
      </c>
      <c r="P254" t="s">
        <v>72</v>
      </c>
      <c r="Q254" t="s">
        <v>74</v>
      </c>
    </row>
    <row r="255" spans="1:17" x14ac:dyDescent="0.2">
      <c r="A255" t="s">
        <v>16</v>
      </c>
      <c r="B255" t="s">
        <v>63</v>
      </c>
      <c r="C255" t="s">
        <v>68</v>
      </c>
      <c r="E255" t="s">
        <v>100</v>
      </c>
      <c r="G255">
        <v>207642</v>
      </c>
      <c r="I255">
        <v>1</v>
      </c>
      <c r="J255">
        <v>1</v>
      </c>
      <c r="K255">
        <v>0.03</v>
      </c>
      <c r="L255">
        <v>1.4999999999999999E-2</v>
      </c>
      <c r="M255" t="s">
        <v>20</v>
      </c>
      <c r="O255">
        <v>2</v>
      </c>
      <c r="P255" t="s">
        <v>72</v>
      </c>
      <c r="Q255" t="s">
        <v>74</v>
      </c>
    </row>
    <row r="256" spans="1:17" x14ac:dyDescent="0.2">
      <c r="A256" t="s">
        <v>16</v>
      </c>
      <c r="B256" t="s">
        <v>63</v>
      </c>
      <c r="C256" t="s">
        <v>68</v>
      </c>
      <c r="E256" t="s">
        <v>100</v>
      </c>
      <c r="G256">
        <v>207642</v>
      </c>
      <c r="I256">
        <v>1</v>
      </c>
      <c r="J256">
        <v>1</v>
      </c>
      <c r="K256">
        <v>0.03</v>
      </c>
      <c r="L256">
        <v>1.4999999999999999E-2</v>
      </c>
      <c r="M256" t="s">
        <v>23</v>
      </c>
      <c r="O256">
        <v>33</v>
      </c>
      <c r="P256" t="s">
        <v>72</v>
      </c>
      <c r="Q256" t="s">
        <v>74</v>
      </c>
    </row>
    <row r="257" spans="1:17" x14ac:dyDescent="0.2">
      <c r="A257" t="s">
        <v>16</v>
      </c>
      <c r="B257" t="s">
        <v>63</v>
      </c>
      <c r="C257" t="s">
        <v>68</v>
      </c>
      <c r="E257" t="s">
        <v>100</v>
      </c>
      <c r="G257">
        <v>207642</v>
      </c>
      <c r="I257">
        <v>1</v>
      </c>
      <c r="J257">
        <v>1</v>
      </c>
      <c r="K257">
        <v>0.03</v>
      </c>
      <c r="L257">
        <v>1.4999999999999999E-2</v>
      </c>
      <c r="M257" t="s">
        <v>27</v>
      </c>
      <c r="O257">
        <v>38</v>
      </c>
      <c r="P257" t="s">
        <v>72</v>
      </c>
      <c r="Q257" t="s">
        <v>74</v>
      </c>
    </row>
    <row r="258" spans="1:17" x14ac:dyDescent="0.2">
      <c r="A258" t="s">
        <v>16</v>
      </c>
      <c r="B258" t="s">
        <v>63</v>
      </c>
      <c r="C258" t="s">
        <v>68</v>
      </c>
      <c r="E258" t="s">
        <v>100</v>
      </c>
      <c r="G258">
        <v>207642</v>
      </c>
      <c r="I258">
        <v>1</v>
      </c>
      <c r="J258">
        <v>1</v>
      </c>
      <c r="K258">
        <v>0.03</v>
      </c>
      <c r="L258">
        <v>1.4999999999999999E-2</v>
      </c>
      <c r="M258" t="s">
        <v>19</v>
      </c>
      <c r="O258">
        <v>45</v>
      </c>
      <c r="P258" t="s">
        <v>72</v>
      </c>
      <c r="Q258" t="s">
        <v>74</v>
      </c>
    </row>
    <row r="259" spans="1:17" x14ac:dyDescent="0.2">
      <c r="A259" t="s">
        <v>16</v>
      </c>
      <c r="B259" t="s">
        <v>63</v>
      </c>
      <c r="C259" t="s">
        <v>68</v>
      </c>
      <c r="E259" t="s">
        <v>100</v>
      </c>
      <c r="G259">
        <v>207642</v>
      </c>
      <c r="I259">
        <v>1</v>
      </c>
      <c r="J259">
        <v>1</v>
      </c>
      <c r="K259">
        <v>0.03</v>
      </c>
      <c r="L259">
        <v>1.4999999999999999E-2</v>
      </c>
      <c r="M259" t="s">
        <v>26</v>
      </c>
      <c r="O259">
        <v>2</v>
      </c>
      <c r="P259" t="s">
        <v>72</v>
      </c>
      <c r="Q259" t="s">
        <v>74</v>
      </c>
    </row>
    <row r="260" spans="1:17" x14ac:dyDescent="0.2">
      <c r="A260" t="s">
        <v>16</v>
      </c>
      <c r="B260" t="s">
        <v>63</v>
      </c>
      <c r="C260" t="s">
        <v>68</v>
      </c>
      <c r="E260" t="s">
        <v>100</v>
      </c>
      <c r="G260">
        <v>207642</v>
      </c>
      <c r="I260">
        <v>1</v>
      </c>
      <c r="J260">
        <v>1</v>
      </c>
      <c r="K260">
        <v>0.03</v>
      </c>
      <c r="L260">
        <v>1.4999999999999999E-2</v>
      </c>
      <c r="M260" t="s">
        <v>26</v>
      </c>
      <c r="O260">
        <v>2</v>
      </c>
      <c r="P260" t="s">
        <v>72</v>
      </c>
      <c r="Q260" t="s">
        <v>74</v>
      </c>
    </row>
    <row r="261" spans="1:17" x14ac:dyDescent="0.2">
      <c r="A261" t="s">
        <v>16</v>
      </c>
      <c r="B261" t="s">
        <v>63</v>
      </c>
      <c r="C261" t="s">
        <v>68</v>
      </c>
      <c r="E261" t="s">
        <v>100</v>
      </c>
      <c r="G261">
        <v>207642</v>
      </c>
      <c r="I261">
        <v>1</v>
      </c>
      <c r="J261">
        <v>1</v>
      </c>
      <c r="K261">
        <v>0.03</v>
      </c>
      <c r="L261">
        <v>1.4999999999999999E-2</v>
      </c>
      <c r="M261" t="s">
        <v>44</v>
      </c>
      <c r="O261">
        <v>5</v>
      </c>
      <c r="P261" t="s">
        <v>72</v>
      </c>
      <c r="Q261" t="s">
        <v>74</v>
      </c>
    </row>
    <row r="262" spans="1:17" x14ac:dyDescent="0.2">
      <c r="A262" t="s">
        <v>16</v>
      </c>
      <c r="B262" t="s">
        <v>63</v>
      </c>
      <c r="C262" t="s">
        <v>68</v>
      </c>
      <c r="E262" t="s">
        <v>100</v>
      </c>
      <c r="G262">
        <v>207642</v>
      </c>
      <c r="I262">
        <v>1</v>
      </c>
      <c r="J262">
        <v>0</v>
      </c>
      <c r="K262">
        <v>1</v>
      </c>
      <c r="L262">
        <v>1</v>
      </c>
      <c r="M262" t="s">
        <v>43</v>
      </c>
      <c r="O262">
        <v>1</v>
      </c>
      <c r="P262" t="s">
        <v>73</v>
      </c>
      <c r="Q262" t="s">
        <v>74</v>
      </c>
    </row>
    <row r="263" spans="1:17" x14ac:dyDescent="0.2">
      <c r="A263" t="s">
        <v>16</v>
      </c>
      <c r="B263" t="s">
        <v>63</v>
      </c>
      <c r="C263" t="s">
        <v>68</v>
      </c>
      <c r="E263" t="s">
        <v>100</v>
      </c>
      <c r="G263">
        <v>207642</v>
      </c>
      <c r="I263">
        <v>1</v>
      </c>
      <c r="J263">
        <v>0</v>
      </c>
      <c r="K263">
        <v>1</v>
      </c>
      <c r="L263">
        <v>1</v>
      </c>
      <c r="M263" t="s">
        <v>47</v>
      </c>
      <c r="O263">
        <v>2</v>
      </c>
      <c r="P263" t="s">
        <v>73</v>
      </c>
      <c r="Q263" t="s">
        <v>74</v>
      </c>
    </row>
    <row r="264" spans="1:17" x14ac:dyDescent="0.2">
      <c r="A264" t="s">
        <v>16</v>
      </c>
      <c r="B264" t="s">
        <v>63</v>
      </c>
      <c r="C264" t="s">
        <v>68</v>
      </c>
      <c r="E264" t="s">
        <v>100</v>
      </c>
      <c r="G264">
        <v>207642</v>
      </c>
      <c r="I264">
        <v>1</v>
      </c>
      <c r="J264">
        <v>0</v>
      </c>
      <c r="K264">
        <v>1</v>
      </c>
      <c r="L264">
        <v>1</v>
      </c>
      <c r="M264" t="s">
        <v>43</v>
      </c>
      <c r="O264">
        <v>0.04</v>
      </c>
      <c r="P264" t="s">
        <v>73</v>
      </c>
      <c r="Q264" t="s">
        <v>75</v>
      </c>
    </row>
    <row r="265" spans="1:17" x14ac:dyDescent="0.2">
      <c r="A265" t="s">
        <v>16</v>
      </c>
      <c r="B265" t="s">
        <v>63</v>
      </c>
      <c r="C265" t="s">
        <v>68</v>
      </c>
      <c r="E265" t="s">
        <v>100</v>
      </c>
      <c r="G265">
        <v>207642</v>
      </c>
      <c r="I265">
        <v>1</v>
      </c>
      <c r="J265">
        <v>0</v>
      </c>
      <c r="K265">
        <v>1</v>
      </c>
      <c r="L265">
        <v>1</v>
      </c>
      <c r="M265" t="s">
        <v>47</v>
      </c>
      <c r="O265">
        <v>6.4699999999999994E-2</v>
      </c>
      <c r="P265" t="s">
        <v>73</v>
      </c>
      <c r="Q265" t="s">
        <v>75</v>
      </c>
    </row>
    <row r="266" spans="1:17" x14ac:dyDescent="0.2">
      <c r="A266" t="s">
        <v>16</v>
      </c>
      <c r="B266" t="s">
        <v>63</v>
      </c>
      <c r="C266" t="s">
        <v>68</v>
      </c>
      <c r="E266" t="s">
        <v>100</v>
      </c>
      <c r="G266">
        <v>207642</v>
      </c>
      <c r="I266">
        <v>1</v>
      </c>
      <c r="J266">
        <v>0</v>
      </c>
      <c r="K266">
        <v>1</v>
      </c>
      <c r="L266">
        <v>1</v>
      </c>
      <c r="M266" t="s">
        <v>95</v>
      </c>
      <c r="O266">
        <f>SUM(O264:O265)</f>
        <v>0.10469999999999999</v>
      </c>
      <c r="P266" t="s">
        <v>73</v>
      </c>
      <c r="Q266" t="s">
        <v>75</v>
      </c>
    </row>
    <row r="267" spans="1:17" x14ac:dyDescent="0.2">
      <c r="A267" t="s">
        <v>16</v>
      </c>
      <c r="B267" t="s">
        <v>63</v>
      </c>
      <c r="C267" t="s">
        <v>68</v>
      </c>
      <c r="E267" t="s">
        <v>100</v>
      </c>
      <c r="G267">
        <v>207642</v>
      </c>
      <c r="I267">
        <v>1</v>
      </c>
      <c r="J267">
        <v>0</v>
      </c>
      <c r="K267">
        <v>1</v>
      </c>
      <c r="L267">
        <v>1</v>
      </c>
      <c r="M267" t="s">
        <v>95</v>
      </c>
      <c r="O267">
        <f>2.0686-0.2402</f>
        <v>1.8284</v>
      </c>
      <c r="P267" t="s">
        <v>72</v>
      </c>
      <c r="Q267" t="s">
        <v>75</v>
      </c>
    </row>
    <row r="268" spans="1:17" x14ac:dyDescent="0.2">
      <c r="A268" t="s">
        <v>16</v>
      </c>
      <c r="B268" t="s">
        <v>63</v>
      </c>
      <c r="C268" t="s">
        <v>68</v>
      </c>
      <c r="E268" t="s">
        <v>100</v>
      </c>
      <c r="G268">
        <v>207642</v>
      </c>
      <c r="I268">
        <v>1</v>
      </c>
      <c r="J268">
        <v>0</v>
      </c>
      <c r="K268">
        <v>1</v>
      </c>
      <c r="L268">
        <v>1</v>
      </c>
      <c r="M268" t="s">
        <v>96</v>
      </c>
      <c r="O268">
        <f>SUM(O266:O267)</f>
        <v>1.9331</v>
      </c>
      <c r="P268" t="s">
        <v>98</v>
      </c>
      <c r="Q268" t="s">
        <v>75</v>
      </c>
    </row>
    <row r="269" spans="1:17" x14ac:dyDescent="0.2">
      <c r="A269" t="s">
        <v>16</v>
      </c>
      <c r="B269" t="s">
        <v>63</v>
      </c>
      <c r="C269" t="s">
        <v>68</v>
      </c>
      <c r="E269" t="s">
        <v>100</v>
      </c>
      <c r="G269">
        <v>207642</v>
      </c>
      <c r="I269">
        <v>1</v>
      </c>
      <c r="J269">
        <v>1</v>
      </c>
      <c r="K269">
        <v>1</v>
      </c>
      <c r="L269">
        <v>0.5</v>
      </c>
      <c r="M269" t="s">
        <v>97</v>
      </c>
      <c r="O269">
        <f>0.2139-0.115</f>
        <v>9.8900000000000002E-2</v>
      </c>
      <c r="P269" t="s">
        <v>72</v>
      </c>
      <c r="Q269" t="s">
        <v>75</v>
      </c>
    </row>
    <row r="270" spans="1:17" x14ac:dyDescent="0.2">
      <c r="A270" t="s">
        <v>16</v>
      </c>
      <c r="B270" t="s">
        <v>63</v>
      </c>
      <c r="C270" t="s">
        <v>67</v>
      </c>
      <c r="E270" t="s">
        <v>100</v>
      </c>
      <c r="G270">
        <v>207643</v>
      </c>
      <c r="I270">
        <v>1</v>
      </c>
      <c r="J270">
        <v>0</v>
      </c>
      <c r="K270">
        <v>1</v>
      </c>
      <c r="L270">
        <v>1</v>
      </c>
      <c r="M270" t="s">
        <v>78</v>
      </c>
      <c r="N270" s="2" t="s">
        <v>83</v>
      </c>
      <c r="O270">
        <v>1</v>
      </c>
      <c r="P270" t="s">
        <v>72</v>
      </c>
      <c r="Q270" t="s">
        <v>74</v>
      </c>
    </row>
    <row r="271" spans="1:17" x14ac:dyDescent="0.2">
      <c r="A271" t="s">
        <v>16</v>
      </c>
      <c r="B271" t="s">
        <v>63</v>
      </c>
      <c r="C271" t="s">
        <v>67</v>
      </c>
      <c r="E271" t="s">
        <v>100</v>
      </c>
      <c r="G271">
        <v>207643</v>
      </c>
      <c r="I271">
        <v>1</v>
      </c>
      <c r="J271">
        <v>0</v>
      </c>
      <c r="K271">
        <v>1</v>
      </c>
      <c r="L271">
        <v>1</v>
      </c>
      <c r="M271" t="s">
        <v>70</v>
      </c>
      <c r="N271" t="s">
        <v>90</v>
      </c>
      <c r="O271">
        <v>3</v>
      </c>
      <c r="P271" t="s">
        <v>72</v>
      </c>
      <c r="Q271" t="s">
        <v>74</v>
      </c>
    </row>
    <row r="272" spans="1:17" x14ac:dyDescent="0.2">
      <c r="A272" t="s">
        <v>16</v>
      </c>
      <c r="B272" t="s">
        <v>63</v>
      </c>
      <c r="C272" t="s">
        <v>67</v>
      </c>
      <c r="E272" t="s">
        <v>100</v>
      </c>
      <c r="G272">
        <v>207643</v>
      </c>
      <c r="I272">
        <v>1</v>
      </c>
      <c r="J272">
        <v>0</v>
      </c>
      <c r="K272">
        <v>1</v>
      </c>
      <c r="L272">
        <v>1</v>
      </c>
      <c r="M272" t="s">
        <v>70</v>
      </c>
      <c r="N272" t="s">
        <v>91</v>
      </c>
      <c r="O272">
        <v>2</v>
      </c>
      <c r="P272" t="s">
        <v>72</v>
      </c>
      <c r="Q272" t="s">
        <v>74</v>
      </c>
    </row>
    <row r="273" spans="1:17" x14ac:dyDescent="0.2">
      <c r="A273" t="s">
        <v>16</v>
      </c>
      <c r="B273" t="s">
        <v>63</v>
      </c>
      <c r="C273" t="s">
        <v>67</v>
      </c>
      <c r="E273" t="s">
        <v>100</v>
      </c>
      <c r="G273">
        <v>207643</v>
      </c>
      <c r="I273">
        <v>1</v>
      </c>
      <c r="J273">
        <v>0</v>
      </c>
      <c r="K273">
        <v>1</v>
      </c>
      <c r="L273">
        <v>1</v>
      </c>
      <c r="M273" t="s">
        <v>42</v>
      </c>
      <c r="N273" t="s">
        <v>33</v>
      </c>
      <c r="O273">
        <v>1</v>
      </c>
      <c r="P273" t="s">
        <v>72</v>
      </c>
      <c r="Q273" t="s">
        <v>74</v>
      </c>
    </row>
    <row r="274" spans="1:17" x14ac:dyDescent="0.2">
      <c r="A274" t="s">
        <v>16</v>
      </c>
      <c r="B274" t="s">
        <v>63</v>
      </c>
      <c r="C274" t="s">
        <v>67</v>
      </c>
      <c r="E274" t="s">
        <v>100</v>
      </c>
      <c r="G274">
        <v>207643</v>
      </c>
      <c r="I274">
        <v>1</v>
      </c>
      <c r="J274">
        <v>0</v>
      </c>
      <c r="K274">
        <v>1</v>
      </c>
      <c r="L274">
        <v>1</v>
      </c>
      <c r="M274" t="s">
        <v>52</v>
      </c>
      <c r="O274">
        <v>3</v>
      </c>
      <c r="P274" t="s">
        <v>72</v>
      </c>
      <c r="Q274" t="s">
        <v>74</v>
      </c>
    </row>
    <row r="275" spans="1:17" x14ac:dyDescent="0.2">
      <c r="A275" t="s">
        <v>16</v>
      </c>
      <c r="B275" t="s">
        <v>63</v>
      </c>
      <c r="C275" t="s">
        <v>67</v>
      </c>
      <c r="E275" t="s">
        <v>100</v>
      </c>
      <c r="G275">
        <v>207643</v>
      </c>
      <c r="I275">
        <v>1</v>
      </c>
      <c r="J275">
        <v>0</v>
      </c>
      <c r="K275">
        <v>1</v>
      </c>
      <c r="L275">
        <v>1</v>
      </c>
      <c r="M275" t="s">
        <v>38</v>
      </c>
      <c r="O275">
        <v>23</v>
      </c>
      <c r="P275" t="s">
        <v>72</v>
      </c>
      <c r="Q275" t="s">
        <v>74</v>
      </c>
    </row>
    <row r="276" spans="1:17" x14ac:dyDescent="0.2">
      <c r="A276" t="s">
        <v>16</v>
      </c>
      <c r="B276" t="s">
        <v>63</v>
      </c>
      <c r="C276" t="s">
        <v>67</v>
      </c>
      <c r="E276" t="s">
        <v>100</v>
      </c>
      <c r="G276">
        <v>207643</v>
      </c>
      <c r="I276">
        <v>1</v>
      </c>
      <c r="J276">
        <v>0</v>
      </c>
      <c r="K276">
        <v>1</v>
      </c>
      <c r="L276">
        <v>1</v>
      </c>
      <c r="M276" t="s">
        <v>23</v>
      </c>
      <c r="O276">
        <v>2</v>
      </c>
      <c r="P276" t="s">
        <v>72</v>
      </c>
      <c r="Q276" t="s">
        <v>74</v>
      </c>
    </row>
    <row r="277" spans="1:17" x14ac:dyDescent="0.2">
      <c r="A277" t="s">
        <v>16</v>
      </c>
      <c r="B277" t="s">
        <v>63</v>
      </c>
      <c r="C277" t="s">
        <v>67</v>
      </c>
      <c r="E277" t="s">
        <v>100</v>
      </c>
      <c r="G277">
        <v>207643</v>
      </c>
      <c r="I277">
        <v>1</v>
      </c>
      <c r="J277">
        <v>0</v>
      </c>
      <c r="K277">
        <v>1</v>
      </c>
      <c r="L277">
        <v>1</v>
      </c>
      <c r="M277" t="s">
        <v>25</v>
      </c>
      <c r="O277">
        <v>2</v>
      </c>
      <c r="P277" t="s">
        <v>72</v>
      </c>
      <c r="Q277" t="s">
        <v>74</v>
      </c>
    </row>
    <row r="278" spans="1:17" x14ac:dyDescent="0.2">
      <c r="A278" t="s">
        <v>16</v>
      </c>
      <c r="B278" t="s">
        <v>63</v>
      </c>
      <c r="C278" t="s">
        <v>67</v>
      </c>
      <c r="E278" t="s">
        <v>100</v>
      </c>
      <c r="G278">
        <v>207643</v>
      </c>
      <c r="I278">
        <v>1</v>
      </c>
      <c r="J278">
        <v>0</v>
      </c>
      <c r="K278">
        <v>1</v>
      </c>
      <c r="L278">
        <v>1</v>
      </c>
      <c r="M278" t="s">
        <v>27</v>
      </c>
      <c r="O278">
        <v>2</v>
      </c>
      <c r="P278" t="s">
        <v>72</v>
      </c>
      <c r="Q278" t="s">
        <v>74</v>
      </c>
    </row>
    <row r="279" spans="1:17" x14ac:dyDescent="0.2">
      <c r="A279" t="s">
        <v>16</v>
      </c>
      <c r="B279" t="s">
        <v>63</v>
      </c>
      <c r="C279" t="s">
        <v>67</v>
      </c>
      <c r="E279" t="s">
        <v>100</v>
      </c>
      <c r="G279">
        <v>207643</v>
      </c>
      <c r="I279">
        <v>1</v>
      </c>
      <c r="J279">
        <v>0</v>
      </c>
      <c r="K279">
        <v>1</v>
      </c>
      <c r="L279">
        <v>1</v>
      </c>
      <c r="M279" t="s">
        <v>19</v>
      </c>
      <c r="O279">
        <v>3</v>
      </c>
      <c r="P279" t="s">
        <v>72</v>
      </c>
      <c r="Q279" t="s">
        <v>74</v>
      </c>
    </row>
    <row r="280" spans="1:17" x14ac:dyDescent="0.2">
      <c r="A280" t="s">
        <v>16</v>
      </c>
      <c r="B280" t="s">
        <v>63</v>
      </c>
      <c r="C280" t="s">
        <v>67</v>
      </c>
      <c r="E280" t="s">
        <v>100</v>
      </c>
      <c r="G280">
        <v>207643</v>
      </c>
      <c r="I280">
        <v>1</v>
      </c>
      <c r="J280">
        <v>0</v>
      </c>
      <c r="K280">
        <v>1</v>
      </c>
      <c r="L280">
        <v>1</v>
      </c>
      <c r="M280" t="s">
        <v>95</v>
      </c>
      <c r="O280">
        <f>0.2343-0.2268</f>
        <v>7.5000000000000067E-3</v>
      </c>
      <c r="P280" t="s">
        <v>72</v>
      </c>
      <c r="Q280" t="s">
        <v>75</v>
      </c>
    </row>
    <row r="281" spans="1:17" x14ac:dyDescent="0.2">
      <c r="A281" t="s">
        <v>16</v>
      </c>
      <c r="B281" t="s">
        <v>63</v>
      </c>
      <c r="C281" t="s">
        <v>67</v>
      </c>
      <c r="E281" t="s">
        <v>100</v>
      </c>
      <c r="G281">
        <v>207643</v>
      </c>
      <c r="I281">
        <v>1</v>
      </c>
      <c r="J281">
        <v>0</v>
      </c>
      <c r="K281">
        <v>1</v>
      </c>
      <c r="L281">
        <v>1</v>
      </c>
      <c r="M281" t="s">
        <v>96</v>
      </c>
      <c r="O281">
        <v>7.4999999999999997E-3</v>
      </c>
      <c r="P281" t="s">
        <v>98</v>
      </c>
      <c r="Q281" t="s">
        <v>75</v>
      </c>
    </row>
    <row r="282" spans="1:17" x14ac:dyDescent="0.2">
      <c r="A282" t="s">
        <v>16</v>
      </c>
      <c r="B282" t="s">
        <v>63</v>
      </c>
      <c r="C282" t="s">
        <v>67</v>
      </c>
      <c r="E282" t="s">
        <v>100</v>
      </c>
      <c r="G282">
        <v>207643</v>
      </c>
      <c r="I282">
        <v>1</v>
      </c>
      <c r="J282">
        <v>1</v>
      </c>
      <c r="K282">
        <v>1</v>
      </c>
      <c r="L282">
        <v>0.5</v>
      </c>
      <c r="M282" t="s">
        <v>97</v>
      </c>
      <c r="O282" t="s">
        <v>99</v>
      </c>
      <c r="P282" t="s">
        <v>72</v>
      </c>
      <c r="Q282" t="s">
        <v>75</v>
      </c>
    </row>
  </sheetData>
  <sortState ref="A2:Q279">
    <sortCondition ref="C2:C279"/>
    <sortCondition descending="1" ref="P2:P279"/>
    <sortCondition ref="Q2:Q27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jspry</dc:creator>
  <cp:lastModifiedBy>Kim Davies</cp:lastModifiedBy>
  <dcterms:created xsi:type="dcterms:W3CDTF">2017-08-14T13:16:04Z</dcterms:created>
  <dcterms:modified xsi:type="dcterms:W3CDTF">2020-09-16T22:01:33Z</dcterms:modified>
</cp:coreProperties>
</file>