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phine/Documents/BoF2020_Cruise/Raw_Data/Multinet/2021-11-02_Multi23Net3/"/>
    </mc:Choice>
  </mc:AlternateContent>
  <xr:revisionPtr revIDLastSave="0" documentId="13_ncr:1_{55F029D0-C402-B141-AA71-F2569768B72D}" xr6:coauthVersionLast="47" xr6:coauthVersionMax="47" xr10:uidLastSave="{00000000-0000-0000-0000-000000000000}"/>
  <bookViews>
    <workbookView xWindow="380" yWindow="500" windowWidth="28040" windowHeight="15700" xr2:uid="{00000000-000D-0000-FFFF-FFFF00000000}"/>
  </bookViews>
  <sheets>
    <sheet name="Copepod Measurements" sheetId="1" r:id="rId1"/>
    <sheet name="Histog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5" i="1" l="1"/>
  <c r="H184" i="1"/>
  <c r="H183" i="1"/>
  <c r="J18" i="1"/>
  <c r="Q17" i="1"/>
  <c r="N3" i="1"/>
  <c r="N4" i="1"/>
  <c r="N5" i="1"/>
  <c r="N6" i="1"/>
  <c r="N7" i="1"/>
  <c r="N8" i="1"/>
  <c r="N9" i="1"/>
  <c r="N10" i="1"/>
  <c r="N11" i="1"/>
  <c r="N12" i="1"/>
  <c r="O12" i="1" s="1"/>
  <c r="P12" i="1" s="1"/>
  <c r="Q12" i="1" s="1"/>
  <c r="N13" i="1"/>
  <c r="N14" i="1"/>
  <c r="N2" i="1"/>
  <c r="O2" i="1" s="1"/>
  <c r="P2" i="1" s="1"/>
  <c r="Q2" i="1" s="1"/>
  <c r="O9" i="1" l="1"/>
  <c r="P9" i="1" s="1"/>
  <c r="Q9" i="1" s="1"/>
  <c r="O4" i="1"/>
  <c r="P4" i="1" s="1"/>
  <c r="Q4" i="1" s="1"/>
  <c r="O10" i="1"/>
  <c r="P10" i="1" s="1"/>
  <c r="Q10" i="1" s="1"/>
  <c r="O8" i="1"/>
  <c r="P8" i="1" s="1"/>
  <c r="Q8" i="1" s="1"/>
  <c r="O3" i="1"/>
  <c r="P3" i="1" s="1"/>
  <c r="Q3" i="1" s="1"/>
  <c r="O13" i="1"/>
  <c r="P13" i="1" s="1"/>
  <c r="Q13" i="1" s="1"/>
  <c r="O11" i="1"/>
  <c r="P11" i="1" s="1"/>
  <c r="Q11" i="1" s="1"/>
  <c r="O7" i="1"/>
  <c r="P7" i="1" s="1"/>
  <c r="Q7" i="1" s="1"/>
  <c r="O14" i="1"/>
  <c r="P14" i="1" s="1"/>
  <c r="Q14" i="1" s="1"/>
  <c r="O5" i="1"/>
  <c r="P5" i="1" s="1"/>
  <c r="Q5" i="1" s="1"/>
  <c r="O6" i="1"/>
  <c r="P6" i="1" s="1"/>
  <c r="Q6" i="1" s="1"/>
  <c r="Q16" i="1" l="1"/>
</calcChain>
</file>

<file path=xl/sharedStrings.xml><?xml version="1.0" encoding="utf-8"?>
<sst xmlns="http://schemas.openxmlformats.org/spreadsheetml/2006/main" count="30" uniqueCount="29">
  <si>
    <t xml:space="preserve"> </t>
  </si>
  <si>
    <t>Area</t>
  </si>
  <si>
    <t>Mean</t>
  </si>
  <si>
    <t>Min</t>
  </si>
  <si>
    <t>Max</t>
  </si>
  <si>
    <t>Angle</t>
  </si>
  <si>
    <t>Length (cm)</t>
  </si>
  <si>
    <t>Length (mm)</t>
  </si>
  <si>
    <t>Column1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</si>
  <si>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</si>
  <si>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</si>
  <si>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</si>
  <si>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</si>
  <si>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</si>
  <si>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</si>
  <si>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</si>
  <si>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</si>
  <si>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</si>
  <si>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</si>
  <si>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</si>
  <si>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</si>
  <si>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Bin</t>
  </si>
  <si>
    <t>Frequency</t>
  </si>
  <si>
    <t>CDF</t>
  </si>
  <si>
    <t>Bin Only</t>
  </si>
  <si>
    <t>Expected</t>
  </si>
  <si>
    <t>chi-squared</t>
  </si>
  <si>
    <t>Chi-Squared Statistic:</t>
  </si>
  <si>
    <t>Chi-Squared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</si>
</sst>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0" fillId="0" borderId="0" xfId="0" applyNumberForma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'Copepod Measurements'!$L$2:$L$15</c:f>
              <c:numCache>
                <c:formatCode>General</c:formatCode>
                <c:ptCount val="14"/>
                <c:pt idx="0">
                  <c:v>0.27</c:v>
                </c:pt>
                <c:pt idx="1">
                  <c:v>0.43692307692307697</c:v>
                </c:pt>
                <c:pt idx="2">
                  <c:v>0.60384615384615392</c:v>
                </c:pt>
                <c:pt idx="3">
                  <c:v>0.77076923076923076</c:v>
                </c:pt>
                <c:pt idx="4">
                  <c:v>0.93769230769230771</c:v>
                </c:pt>
                <c:pt idx="5">
                  <c:v>1.1046153846153848</c:v>
                </c:pt>
                <c:pt idx="6">
                  <c:v>1.2715384615384615</c:v>
                </c:pt>
                <c:pt idx="7">
                  <c:v>1.4384615384615385</c:v>
                </c:pt>
                <c:pt idx="8">
                  <c:v>1.6053846153846154</c:v>
                </c:pt>
                <c:pt idx="9">
                  <c:v>1.7723076923076924</c:v>
                </c:pt>
                <c:pt idx="10">
                  <c:v>1.9392307692307693</c:v>
                </c:pt>
                <c:pt idx="11">
                  <c:v>2.1061538461538465</c:v>
                </c:pt>
                <c:pt idx="12">
                  <c:v>2.44</c:v>
                </c:pt>
              </c:numCache>
            </c:numRef>
          </c:cat>
          <c:val>
            <c:numRef>
              <c:f>'Copepod Measurements'!$M$2:$M$15</c:f>
              <c:numCache>
                <c:formatCode>General</c:formatCode>
                <c:ptCount val="14"/>
                <c:pt idx="0">
                  <c:v>1</c:v>
                </c:pt>
                <c:pt idx="1">
                  <c:v>34</c:v>
                </c:pt>
                <c:pt idx="2">
                  <c:v>32</c:v>
                </c:pt>
                <c:pt idx="3">
                  <c:v>39</c:v>
                </c:pt>
                <c:pt idx="4">
                  <c:v>34</c:v>
                </c:pt>
                <c:pt idx="5">
                  <c:v>15</c:v>
                </c:pt>
                <c:pt idx="6">
                  <c:v>19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C-904A-9321-38CA51349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364976"/>
        <c:axId val="160366624"/>
      </c:barChart>
      <c:catAx>
        <c:axId val="160364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0366624"/>
        <c:crosses val="autoZero"/>
        <c:auto val="1"/>
        <c:lblAlgn val="ctr"/>
        <c:lblOffset val="100"/>
        <c:noMultiLvlLbl val="0"/>
      </c:catAx>
      <c:valAx>
        <c:axId val="160366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036497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7899A82-593D-CC44-9D4B-88DB395932F6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713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1B21C-92CE-E34A-A7F9-EF6A5767F7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5"/>
  <sheetViews>
    <sheetView tabSelected="1" topLeftCell="A159" workbookViewId="0">
      <selection activeCell="H186" sqref="H186"/>
    </sheetView>
  </sheetViews>
  <sheetFormatPr baseColWidth="10" defaultRowHeight="16" x14ac:dyDescent="0.2"/>
  <cols>
    <col min="17" max="17" width="12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5" t="s">
        <v>8</v>
      </c>
      <c r="K1" s="5"/>
      <c r="L1" s="4" t="s">
        <v>21</v>
      </c>
      <c r="M1" s="4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 x14ac:dyDescent="0.2">
      <c r="A2">
        <v>155</v>
      </c>
      <c r="B2" s="1">
        <v>3.8500000000000001E-5</v>
      </c>
      <c r="C2">
        <v>222.161</v>
      </c>
      <c r="D2">
        <v>92</v>
      </c>
      <c r="E2">
        <v>255</v>
      </c>
      <c r="F2">
        <v>104.036</v>
      </c>
      <c r="G2">
        <v>2.7E-2</v>
      </c>
      <c r="H2">
        <v>0.27</v>
      </c>
      <c r="J2" s="2"/>
      <c r="K2" s="2"/>
      <c r="L2" s="6">
        <v>0.27</v>
      </c>
      <c r="M2" s="2">
        <v>1</v>
      </c>
      <c r="N2">
        <f t="shared" ref="N2:N14" si="0">_xlfn.NORM.DIST(L2,$K$3,$K$7,TRUE)</f>
        <v>7.8301784718610171E-2</v>
      </c>
      <c r="O2">
        <f>N2</f>
        <v>7.8301784718610171E-2</v>
      </c>
      <c r="P2">
        <f t="shared" ref="P2:P14" si="1">O2*$K$15</f>
        <v>14.09432124934983</v>
      </c>
      <c r="Q2">
        <f>((M2-P2)^2)/P2</f>
        <v>12.165271810381361</v>
      </c>
    </row>
    <row r="3" spans="1:17" x14ac:dyDescent="0.2">
      <c r="A3">
        <v>177</v>
      </c>
      <c r="B3" s="1">
        <v>4.3699999999999998E-5</v>
      </c>
      <c r="C3">
        <v>238.07</v>
      </c>
      <c r="D3">
        <v>217.333</v>
      </c>
      <c r="E3">
        <v>255</v>
      </c>
      <c r="F3">
        <v>-24.443999999999999</v>
      </c>
      <c r="G3">
        <v>3.2000000000000001E-2</v>
      </c>
      <c r="H3">
        <v>0.32</v>
      </c>
      <c r="J3" s="2" t="s">
        <v>2</v>
      </c>
      <c r="K3" s="2">
        <v>0.75133333333333308</v>
      </c>
      <c r="L3" s="6">
        <v>0.43692307692307697</v>
      </c>
      <c r="M3" s="2">
        <v>34</v>
      </c>
      <c r="N3">
        <f t="shared" si="0"/>
        <v>0.17739851049357161</v>
      </c>
      <c r="O3">
        <f>N3-N2</f>
        <v>9.9096725774961439E-2</v>
      </c>
      <c r="P3">
        <f t="shared" si="1"/>
        <v>17.837410639493058</v>
      </c>
      <c r="Q3">
        <f t="shared" ref="Q3:Q13" si="2">((M3-P3)^2)/P3</f>
        <v>14.645023322947752</v>
      </c>
    </row>
    <row r="4" spans="1:17" x14ac:dyDescent="0.2">
      <c r="A4">
        <v>60</v>
      </c>
      <c r="B4" s="1">
        <v>4.7200000000000002E-5</v>
      </c>
      <c r="C4">
        <v>234.51499999999999</v>
      </c>
      <c r="D4">
        <v>217.667</v>
      </c>
      <c r="E4">
        <v>255</v>
      </c>
      <c r="F4">
        <v>-169.114</v>
      </c>
      <c r="G4">
        <v>3.5000000000000003E-2</v>
      </c>
      <c r="H4">
        <v>0.35</v>
      </c>
      <c r="J4" s="2" t="s">
        <v>9</v>
      </c>
      <c r="K4" s="2">
        <v>2.5325981487381553E-2</v>
      </c>
      <c r="L4" s="6">
        <v>0.60384615384615392</v>
      </c>
      <c r="M4" s="2">
        <v>32</v>
      </c>
      <c r="N4">
        <f t="shared" si="0"/>
        <v>0.33212172201460233</v>
      </c>
      <c r="O4">
        <f t="shared" ref="O4:O14" si="3">N4-N3</f>
        <v>0.15472321152103072</v>
      </c>
      <c r="P4">
        <f t="shared" si="1"/>
        <v>27.850178073785528</v>
      </c>
      <c r="Q4">
        <f t="shared" si="2"/>
        <v>0.61834513135483249</v>
      </c>
    </row>
    <row r="5" spans="1:17" x14ac:dyDescent="0.2">
      <c r="A5">
        <v>151</v>
      </c>
      <c r="B5" s="1">
        <v>4.8900000000000003E-5</v>
      </c>
      <c r="C5">
        <v>232.392</v>
      </c>
      <c r="D5">
        <v>191</v>
      </c>
      <c r="E5">
        <v>254.87700000000001</v>
      </c>
      <c r="F5">
        <v>10.491</v>
      </c>
      <c r="G5">
        <v>3.5999999999999997E-2</v>
      </c>
      <c r="H5">
        <v>0.36</v>
      </c>
      <c r="J5" s="2" t="s">
        <v>10</v>
      </c>
      <c r="K5" s="2">
        <v>0.74</v>
      </c>
      <c r="L5" s="6">
        <v>0.77076923076923076</v>
      </c>
      <c r="M5" s="2">
        <v>39</v>
      </c>
      <c r="N5">
        <f t="shared" si="0"/>
        <v>0.52280737735699512</v>
      </c>
      <c r="O5">
        <f t="shared" si="3"/>
        <v>0.19068565534239279</v>
      </c>
      <c r="P5">
        <f t="shared" si="1"/>
        <v>34.323417961630703</v>
      </c>
      <c r="Q5">
        <f t="shared" si="2"/>
        <v>0.63718652921007835</v>
      </c>
    </row>
    <row r="6" spans="1:17" x14ac:dyDescent="0.2">
      <c r="A6">
        <v>172</v>
      </c>
      <c r="B6" s="1">
        <v>5.0699999999999999E-5</v>
      </c>
      <c r="C6">
        <v>237.178</v>
      </c>
      <c r="D6">
        <v>88.332999999999998</v>
      </c>
      <c r="E6">
        <v>254.99</v>
      </c>
      <c r="F6">
        <v>163.49600000000001</v>
      </c>
      <c r="G6">
        <v>3.6999999999999998E-2</v>
      </c>
      <c r="H6">
        <v>0.37</v>
      </c>
      <c r="J6" s="2" t="s">
        <v>11</v>
      </c>
      <c r="K6" s="2">
        <v>0.4</v>
      </c>
      <c r="L6" s="6">
        <v>0.93769230769230771</v>
      </c>
      <c r="M6" s="2">
        <v>34</v>
      </c>
      <c r="N6">
        <f t="shared" si="0"/>
        <v>0.70831317620321854</v>
      </c>
      <c r="O6">
        <f t="shared" si="3"/>
        <v>0.18550579884622342</v>
      </c>
      <c r="P6">
        <f t="shared" si="1"/>
        <v>33.391043792320218</v>
      </c>
      <c r="Q6">
        <f t="shared" si="2"/>
        <v>1.1105602603445126E-2</v>
      </c>
    </row>
    <row r="7" spans="1:17" x14ac:dyDescent="0.2">
      <c r="A7">
        <v>24</v>
      </c>
      <c r="B7" s="1">
        <v>5.24E-5</v>
      </c>
      <c r="C7">
        <v>229.328</v>
      </c>
      <c r="D7">
        <v>193.28299999999999</v>
      </c>
      <c r="E7">
        <v>254.929</v>
      </c>
      <c r="F7">
        <v>-116.565</v>
      </c>
      <c r="G7">
        <v>3.7999999999999999E-2</v>
      </c>
      <c r="H7">
        <v>0.38</v>
      </c>
      <c r="J7" s="2" t="s">
        <v>12</v>
      </c>
      <c r="K7" s="2">
        <v>0.33978369721611834</v>
      </c>
      <c r="L7" s="6">
        <v>1.1046153846153848</v>
      </c>
      <c r="M7" s="2">
        <v>15</v>
      </c>
      <c r="N7">
        <f t="shared" si="0"/>
        <v>0.85076646433217173</v>
      </c>
      <c r="O7">
        <f t="shared" si="3"/>
        <v>0.14245328812895319</v>
      </c>
      <c r="P7">
        <f t="shared" si="1"/>
        <v>25.641591863211573</v>
      </c>
      <c r="Q7">
        <f t="shared" si="2"/>
        <v>4.4163980921029751</v>
      </c>
    </row>
    <row r="8" spans="1:17" x14ac:dyDescent="0.2">
      <c r="A8">
        <v>150</v>
      </c>
      <c r="B8" s="1">
        <v>5.0699999999999999E-5</v>
      </c>
      <c r="C8">
        <v>236.03399999999999</v>
      </c>
      <c r="D8">
        <v>200.333</v>
      </c>
      <c r="E8">
        <v>255</v>
      </c>
      <c r="F8">
        <v>79.875</v>
      </c>
      <c r="G8">
        <v>3.7999999999999999E-2</v>
      </c>
      <c r="H8">
        <v>0.38</v>
      </c>
      <c r="J8" s="2" t="s">
        <v>13</v>
      </c>
      <c r="K8" s="2">
        <v>0.11545296089385479</v>
      </c>
      <c r="L8" s="6">
        <v>1.2715384615384615</v>
      </c>
      <c r="M8" s="2">
        <v>19</v>
      </c>
      <c r="N8">
        <f t="shared" si="0"/>
        <v>0.93711395358786442</v>
      </c>
      <c r="O8">
        <f t="shared" si="3"/>
        <v>8.6347489255692689E-2</v>
      </c>
      <c r="P8">
        <f t="shared" si="1"/>
        <v>15.542548066024684</v>
      </c>
      <c r="Q8">
        <f t="shared" si="2"/>
        <v>0.76911287807952822</v>
      </c>
    </row>
    <row r="9" spans="1:17" x14ac:dyDescent="0.2">
      <c r="A9">
        <v>153</v>
      </c>
      <c r="B9" s="1">
        <v>5.0699999999999999E-5</v>
      </c>
      <c r="C9">
        <v>244.81700000000001</v>
      </c>
      <c r="D9">
        <v>214.333</v>
      </c>
      <c r="E9">
        <v>255</v>
      </c>
      <c r="F9">
        <v>-39.289000000000001</v>
      </c>
      <c r="G9">
        <v>3.7999999999999999E-2</v>
      </c>
      <c r="H9">
        <v>0.38</v>
      </c>
      <c r="J9" s="2" t="s">
        <v>14</v>
      </c>
      <c r="K9" s="2">
        <v>4.3340157764040468</v>
      </c>
      <c r="L9" s="6">
        <v>1.4384615384615385</v>
      </c>
      <c r="M9" s="2">
        <v>1</v>
      </c>
      <c r="N9">
        <f t="shared" si="0"/>
        <v>0.97842482912513395</v>
      </c>
      <c r="O9">
        <f t="shared" si="3"/>
        <v>4.1310875537269531E-2</v>
      </c>
      <c r="P9">
        <f t="shared" si="1"/>
        <v>7.4359575967085156</v>
      </c>
      <c r="Q9">
        <f t="shared" si="2"/>
        <v>5.5704392672928993</v>
      </c>
    </row>
    <row r="10" spans="1:17" x14ac:dyDescent="0.2">
      <c r="A10">
        <v>167</v>
      </c>
      <c r="B10" s="1">
        <v>5.24E-5</v>
      </c>
      <c r="C10">
        <v>220.09399999999999</v>
      </c>
      <c r="D10">
        <v>33.667000000000002</v>
      </c>
      <c r="E10">
        <v>255</v>
      </c>
      <c r="F10">
        <v>102.095</v>
      </c>
      <c r="G10">
        <v>3.7999999999999999E-2</v>
      </c>
      <c r="H10">
        <v>0.38</v>
      </c>
      <c r="J10" s="2" t="s">
        <v>15</v>
      </c>
      <c r="K10" s="2">
        <v>1.5822927708806696</v>
      </c>
      <c r="L10" s="6">
        <v>1.6053846153846154</v>
      </c>
      <c r="M10" s="2">
        <v>0</v>
      </c>
      <c r="N10">
        <f t="shared" si="0"/>
        <v>0.99402325840976724</v>
      </c>
      <c r="O10">
        <f t="shared" si="3"/>
        <v>1.5598429284633286E-2</v>
      </c>
      <c r="P10">
        <f t="shared" si="1"/>
        <v>2.8077172712339915</v>
      </c>
      <c r="Q10">
        <f t="shared" si="2"/>
        <v>2.8077172712339915</v>
      </c>
    </row>
    <row r="11" spans="1:17" x14ac:dyDescent="0.2">
      <c r="A11">
        <v>65</v>
      </c>
      <c r="B11" s="1">
        <v>5.24E-5</v>
      </c>
      <c r="C11">
        <v>249.333</v>
      </c>
      <c r="D11">
        <v>241.93100000000001</v>
      </c>
      <c r="E11">
        <v>255</v>
      </c>
      <c r="F11">
        <v>7.8529999999999998</v>
      </c>
      <c r="G11">
        <v>3.9E-2</v>
      </c>
      <c r="H11">
        <v>0.39</v>
      </c>
      <c r="J11" s="2" t="s">
        <v>16</v>
      </c>
      <c r="K11" s="2">
        <v>2.17</v>
      </c>
      <c r="L11" s="6">
        <v>1.7723076923076924</v>
      </c>
      <c r="M11" s="2">
        <v>0</v>
      </c>
      <c r="N11">
        <f t="shared" si="0"/>
        <v>0.9986711234009491</v>
      </c>
      <c r="O11">
        <f t="shared" si="3"/>
        <v>4.6478649911818604E-3</v>
      </c>
      <c r="P11">
        <f t="shared" si="1"/>
        <v>0.83661569841273487</v>
      </c>
      <c r="Q11">
        <f t="shared" si="2"/>
        <v>0.83661569841273487</v>
      </c>
    </row>
    <row r="12" spans="1:17" x14ac:dyDescent="0.2">
      <c r="A12">
        <v>91</v>
      </c>
      <c r="B12" s="1">
        <v>5.4200000000000003E-5</v>
      </c>
      <c r="C12">
        <v>227.21</v>
      </c>
      <c r="D12">
        <v>107.667</v>
      </c>
      <c r="E12">
        <v>254.804</v>
      </c>
      <c r="F12">
        <v>-151.69900000000001</v>
      </c>
      <c r="G12">
        <v>3.9E-2</v>
      </c>
      <c r="H12">
        <v>0.39</v>
      </c>
      <c r="J12" s="2" t="s">
        <v>17</v>
      </c>
      <c r="K12" s="2">
        <v>0.27</v>
      </c>
      <c r="L12" s="6">
        <v>1.9392307692307693</v>
      </c>
      <c r="M12" s="2">
        <v>3</v>
      </c>
      <c r="N12">
        <f t="shared" si="0"/>
        <v>0.99976389114851005</v>
      </c>
      <c r="O12">
        <f t="shared" si="3"/>
        <v>1.0927677475609521E-3</v>
      </c>
      <c r="P12">
        <f t="shared" si="1"/>
        <v>0.19669819456097137</v>
      </c>
      <c r="Q12">
        <f t="shared" si="2"/>
        <v>39.952074953803326</v>
      </c>
    </row>
    <row r="13" spans="1:17" x14ac:dyDescent="0.2">
      <c r="A13">
        <v>98</v>
      </c>
      <c r="B13" s="1">
        <v>5.24E-5</v>
      </c>
      <c r="C13">
        <v>240.23</v>
      </c>
      <c r="D13">
        <v>218.77</v>
      </c>
      <c r="E13">
        <v>255</v>
      </c>
      <c r="F13">
        <v>-7.8529999999999998</v>
      </c>
      <c r="G13">
        <v>3.9E-2</v>
      </c>
      <c r="H13">
        <v>0.39</v>
      </c>
      <c r="J13" s="2" t="s">
        <v>18</v>
      </c>
      <c r="K13" s="2">
        <v>2.44</v>
      </c>
      <c r="L13" s="6">
        <v>2.1061538461538465</v>
      </c>
      <c r="M13" s="2">
        <v>1</v>
      </c>
      <c r="N13">
        <f t="shared" si="0"/>
        <v>0.99996658565519414</v>
      </c>
      <c r="O13">
        <f t="shared" si="3"/>
        <v>2.0269450668408684E-4</v>
      </c>
      <c r="P13">
        <f t="shared" si="1"/>
        <v>3.6485011203135631E-2</v>
      </c>
      <c r="Q13">
        <f t="shared" si="2"/>
        <v>25.445000646085468</v>
      </c>
    </row>
    <row r="14" spans="1:17" x14ac:dyDescent="0.2">
      <c r="A14">
        <v>139</v>
      </c>
      <c r="B14" s="1">
        <v>5.4200000000000003E-5</v>
      </c>
      <c r="C14">
        <v>221.90899999999999</v>
      </c>
      <c r="D14">
        <v>198.667</v>
      </c>
      <c r="E14">
        <v>255</v>
      </c>
      <c r="F14">
        <v>28.300999999999998</v>
      </c>
      <c r="G14">
        <v>3.9E-2</v>
      </c>
      <c r="H14">
        <v>0.39</v>
      </c>
      <c r="J14" s="2" t="s">
        <v>19</v>
      </c>
      <c r="K14" s="2">
        <v>135.23999999999995</v>
      </c>
      <c r="L14" s="6">
        <v>2.44</v>
      </c>
      <c r="M14" s="2">
        <v>1</v>
      </c>
      <c r="N14">
        <f t="shared" si="0"/>
        <v>0.9999996649390821</v>
      </c>
      <c r="O14">
        <f t="shared" si="3"/>
        <v>3.3079283887960109E-5</v>
      </c>
      <c r="P14">
        <f t="shared" si="1"/>
        <v>5.9542710998328197E-3</v>
      </c>
      <c r="Q14">
        <f>((M14-P14)^2)/P14</f>
        <v>165.95262368426737</v>
      </c>
    </row>
    <row r="15" spans="1:17" ht="17" thickBot="1" x14ac:dyDescent="0.25">
      <c r="A15">
        <v>15</v>
      </c>
      <c r="B15" s="1">
        <v>5.4200000000000003E-5</v>
      </c>
      <c r="C15">
        <v>217.63399999999999</v>
      </c>
      <c r="D15">
        <v>189</v>
      </c>
      <c r="E15">
        <v>246.333</v>
      </c>
      <c r="F15">
        <v>82.405000000000001</v>
      </c>
      <c r="G15">
        <v>0.04</v>
      </c>
      <c r="H15">
        <v>0.4</v>
      </c>
      <c r="J15" s="3" t="s">
        <v>20</v>
      </c>
      <c r="K15" s="3">
        <v>180</v>
      </c>
      <c r="L15" s="3"/>
      <c r="M15" s="3"/>
    </row>
    <row r="16" spans="1:17" x14ac:dyDescent="0.2">
      <c r="A16">
        <v>23</v>
      </c>
      <c r="B16" s="1">
        <v>5.4200000000000003E-5</v>
      </c>
      <c r="C16">
        <v>243.214</v>
      </c>
      <c r="D16">
        <v>214</v>
      </c>
      <c r="E16">
        <v>255</v>
      </c>
      <c r="F16">
        <v>-133.66800000000001</v>
      </c>
      <c r="G16">
        <v>0.04</v>
      </c>
      <c r="H16">
        <v>0.4</v>
      </c>
      <c r="O16" t="s">
        <v>27</v>
      </c>
      <c r="Q16">
        <f>SUM(Q2:Q15)</f>
        <v>273.82691488777573</v>
      </c>
    </row>
    <row r="17" spans="1:17" x14ac:dyDescent="0.2">
      <c r="A17">
        <v>47</v>
      </c>
      <c r="B17" s="1">
        <v>5.4200000000000003E-5</v>
      </c>
      <c r="C17">
        <v>245.536</v>
      </c>
      <c r="D17">
        <v>222.97800000000001</v>
      </c>
      <c r="E17">
        <v>255</v>
      </c>
      <c r="F17">
        <v>-97.594999999999999</v>
      </c>
      <c r="G17">
        <v>0.04</v>
      </c>
      <c r="H17">
        <v>0.4</v>
      </c>
      <c r="O17" t="s">
        <v>28</v>
      </c>
      <c r="Q17">
        <f>CHIDIST(Q16,177)</f>
        <v>4.0881432214352842E-6</v>
      </c>
    </row>
    <row r="18" spans="1:17" x14ac:dyDescent="0.2">
      <c r="A18">
        <v>51</v>
      </c>
      <c r="B18" s="1">
        <v>5.4200000000000003E-5</v>
      </c>
      <c r="C18">
        <v>245.51499999999999</v>
      </c>
      <c r="D18">
        <v>220</v>
      </c>
      <c r="E18">
        <v>255</v>
      </c>
      <c r="F18">
        <v>-126.87</v>
      </c>
      <c r="G18">
        <v>0.04</v>
      </c>
      <c r="H18">
        <v>0.4</v>
      </c>
      <c r="J18">
        <f>K7/K3</f>
        <v>0.45224094571799262</v>
      </c>
    </row>
    <row r="19" spans="1:17" x14ac:dyDescent="0.2">
      <c r="A19">
        <v>100</v>
      </c>
      <c r="B19" s="1">
        <v>5.4200000000000003E-5</v>
      </c>
      <c r="C19">
        <v>202.33600000000001</v>
      </c>
      <c r="D19">
        <v>92</v>
      </c>
      <c r="E19">
        <v>242.87</v>
      </c>
      <c r="F19">
        <v>107.241</v>
      </c>
      <c r="G19">
        <v>0.04</v>
      </c>
      <c r="H19">
        <v>0.4</v>
      </c>
    </row>
    <row r="20" spans="1:17" x14ac:dyDescent="0.2">
      <c r="A20">
        <v>122</v>
      </c>
      <c r="B20" s="1">
        <v>5.4200000000000003E-5</v>
      </c>
      <c r="C20">
        <v>242.989</v>
      </c>
      <c r="D20">
        <v>90</v>
      </c>
      <c r="E20">
        <v>255</v>
      </c>
      <c r="F20">
        <v>150.018</v>
      </c>
      <c r="G20">
        <v>0.04</v>
      </c>
      <c r="H20">
        <v>0.4</v>
      </c>
    </row>
    <row r="21" spans="1:17" x14ac:dyDescent="0.2">
      <c r="A21">
        <v>136</v>
      </c>
      <c r="B21" s="1">
        <v>5.4200000000000003E-5</v>
      </c>
      <c r="C21">
        <v>213.41900000000001</v>
      </c>
      <c r="D21">
        <v>136.667</v>
      </c>
      <c r="E21">
        <v>255</v>
      </c>
      <c r="F21">
        <v>-90</v>
      </c>
      <c r="G21">
        <v>0.04</v>
      </c>
      <c r="H21">
        <v>0.4</v>
      </c>
      <c r="K21" s="2"/>
    </row>
    <row r="22" spans="1:17" x14ac:dyDescent="0.2">
      <c r="A22">
        <v>156</v>
      </c>
      <c r="B22" s="1">
        <v>5.5899999999999997E-5</v>
      </c>
      <c r="C22">
        <v>234.34</v>
      </c>
      <c r="D22">
        <v>78.667000000000002</v>
      </c>
      <c r="E22">
        <v>255</v>
      </c>
      <c r="F22">
        <v>-168.69</v>
      </c>
      <c r="G22">
        <v>0.04</v>
      </c>
      <c r="H22">
        <v>0.4</v>
      </c>
      <c r="K22" s="2"/>
    </row>
    <row r="23" spans="1:17" x14ac:dyDescent="0.2">
      <c r="A23">
        <v>44</v>
      </c>
      <c r="B23" s="1">
        <v>5.5899999999999997E-5</v>
      </c>
      <c r="C23">
        <v>254.65799999999999</v>
      </c>
      <c r="D23">
        <v>252.565</v>
      </c>
      <c r="E23">
        <v>255</v>
      </c>
      <c r="F23">
        <v>-39.805999999999997</v>
      </c>
      <c r="G23">
        <v>4.1000000000000002E-2</v>
      </c>
      <c r="H23">
        <v>0.41</v>
      </c>
      <c r="K23" s="2"/>
    </row>
    <row r="24" spans="1:17" x14ac:dyDescent="0.2">
      <c r="A24">
        <v>86</v>
      </c>
      <c r="B24" s="1">
        <v>5.5899999999999997E-5</v>
      </c>
      <c r="C24">
        <v>239.40600000000001</v>
      </c>
      <c r="D24">
        <v>171.667</v>
      </c>
      <c r="E24">
        <v>254.74</v>
      </c>
      <c r="F24">
        <v>-165.06899999999999</v>
      </c>
      <c r="G24">
        <v>4.1000000000000002E-2</v>
      </c>
      <c r="H24">
        <v>0.41</v>
      </c>
      <c r="K24" s="2"/>
    </row>
    <row r="25" spans="1:17" x14ac:dyDescent="0.2">
      <c r="A25">
        <v>97</v>
      </c>
      <c r="B25" s="1">
        <v>5.5899999999999997E-5</v>
      </c>
      <c r="C25">
        <v>191.935</v>
      </c>
      <c r="D25">
        <v>13</v>
      </c>
      <c r="E25">
        <v>249.01599999999999</v>
      </c>
      <c r="F25">
        <v>104.931</v>
      </c>
      <c r="G25">
        <v>4.1000000000000002E-2</v>
      </c>
      <c r="H25">
        <v>0.41</v>
      </c>
      <c r="K25" s="2"/>
    </row>
    <row r="26" spans="1:17" x14ac:dyDescent="0.2">
      <c r="A26">
        <v>107</v>
      </c>
      <c r="B26" s="1">
        <v>5.5899999999999997E-5</v>
      </c>
      <c r="C26">
        <v>220.929</v>
      </c>
      <c r="D26">
        <v>139.417</v>
      </c>
      <c r="E26">
        <v>254.649</v>
      </c>
      <c r="F26">
        <v>-50.194000000000003</v>
      </c>
      <c r="G26">
        <v>4.1000000000000002E-2</v>
      </c>
      <c r="H26">
        <v>0.41</v>
      </c>
      <c r="K26" s="2"/>
    </row>
    <row r="27" spans="1:17" x14ac:dyDescent="0.2">
      <c r="A27">
        <v>165</v>
      </c>
      <c r="B27" s="1">
        <v>5.5899999999999997E-5</v>
      </c>
      <c r="C27">
        <v>217.93799999999999</v>
      </c>
      <c r="D27">
        <v>152.667</v>
      </c>
      <c r="E27">
        <v>255</v>
      </c>
      <c r="F27">
        <v>125.754</v>
      </c>
      <c r="G27">
        <v>4.1000000000000002E-2</v>
      </c>
      <c r="H27">
        <v>0.41</v>
      </c>
      <c r="K27" s="2"/>
    </row>
    <row r="28" spans="1:17" x14ac:dyDescent="0.2">
      <c r="A28">
        <v>5</v>
      </c>
      <c r="B28" s="1">
        <v>5.5899999999999997E-5</v>
      </c>
      <c r="C28">
        <v>162.89500000000001</v>
      </c>
      <c r="D28">
        <v>141.333</v>
      </c>
      <c r="E28">
        <v>202.667</v>
      </c>
      <c r="F28">
        <v>-99.162000000000006</v>
      </c>
      <c r="G28">
        <v>4.2000000000000003E-2</v>
      </c>
      <c r="H28">
        <v>0.42</v>
      </c>
      <c r="K28" s="2"/>
    </row>
    <row r="29" spans="1:17" x14ac:dyDescent="0.2">
      <c r="A29">
        <v>67</v>
      </c>
      <c r="B29" s="1">
        <v>5.5899999999999997E-5</v>
      </c>
      <c r="C29">
        <v>234.35599999999999</v>
      </c>
      <c r="D29">
        <v>183.31800000000001</v>
      </c>
      <c r="E29">
        <v>255</v>
      </c>
      <c r="F29">
        <v>-127.235</v>
      </c>
      <c r="G29">
        <v>4.2000000000000003E-2</v>
      </c>
      <c r="H29">
        <v>0.42</v>
      </c>
      <c r="K29" s="2"/>
    </row>
    <row r="30" spans="1:17" x14ac:dyDescent="0.2">
      <c r="A30">
        <v>114</v>
      </c>
      <c r="B30" s="1">
        <v>5.77E-5</v>
      </c>
      <c r="C30">
        <v>213.56700000000001</v>
      </c>
      <c r="D30">
        <v>122.333</v>
      </c>
      <c r="E30">
        <v>254.84399999999999</v>
      </c>
      <c r="F30">
        <v>167.27600000000001</v>
      </c>
      <c r="G30">
        <v>4.2000000000000003E-2</v>
      </c>
      <c r="H30">
        <v>0.42</v>
      </c>
      <c r="K30" s="2"/>
    </row>
    <row r="31" spans="1:17" x14ac:dyDescent="0.2">
      <c r="A31">
        <v>119</v>
      </c>
      <c r="B31" s="1">
        <v>5.77E-5</v>
      </c>
      <c r="C31">
        <v>200.93199999999999</v>
      </c>
      <c r="D31">
        <v>176.02</v>
      </c>
      <c r="E31">
        <v>227.358</v>
      </c>
      <c r="F31">
        <v>-18.434999999999999</v>
      </c>
      <c r="G31">
        <v>4.2000000000000003E-2</v>
      </c>
      <c r="H31">
        <v>0.42</v>
      </c>
      <c r="K31" s="2"/>
    </row>
    <row r="32" spans="1:17" x14ac:dyDescent="0.2">
      <c r="A32">
        <v>160</v>
      </c>
      <c r="B32" s="1">
        <v>5.77E-5</v>
      </c>
      <c r="C32">
        <v>232.30699999999999</v>
      </c>
      <c r="D32">
        <v>206.24299999999999</v>
      </c>
      <c r="E32">
        <v>254.85400000000001</v>
      </c>
      <c r="F32">
        <v>-38.659999999999997</v>
      </c>
      <c r="G32">
        <v>4.2000000000000003E-2</v>
      </c>
      <c r="H32">
        <v>0.42</v>
      </c>
      <c r="K32" s="2"/>
    </row>
    <row r="33" spans="1:11" x14ac:dyDescent="0.2">
      <c r="A33">
        <v>48</v>
      </c>
      <c r="B33" s="1">
        <v>5.94E-5</v>
      </c>
      <c r="C33">
        <v>244.458</v>
      </c>
      <c r="D33">
        <v>155</v>
      </c>
      <c r="E33">
        <v>255</v>
      </c>
      <c r="F33">
        <v>-127.569</v>
      </c>
      <c r="G33">
        <v>4.2999999999999997E-2</v>
      </c>
      <c r="H33">
        <v>0.43</v>
      </c>
      <c r="K33" s="2"/>
    </row>
    <row r="34" spans="1:11" x14ac:dyDescent="0.2">
      <c r="A34">
        <v>85</v>
      </c>
      <c r="B34" s="1">
        <v>5.77E-5</v>
      </c>
      <c r="C34">
        <v>235.947</v>
      </c>
      <c r="D34">
        <v>163.625</v>
      </c>
      <c r="E34">
        <v>255</v>
      </c>
      <c r="F34">
        <v>-97.125</v>
      </c>
      <c r="G34">
        <v>4.2999999999999997E-2</v>
      </c>
      <c r="H34">
        <v>0.43</v>
      </c>
    </row>
    <row r="35" spans="1:11" x14ac:dyDescent="0.2">
      <c r="A35">
        <v>130</v>
      </c>
      <c r="B35" s="1">
        <v>5.77E-5</v>
      </c>
      <c r="C35">
        <v>209.95500000000001</v>
      </c>
      <c r="D35">
        <v>154.06200000000001</v>
      </c>
      <c r="E35">
        <v>246.167</v>
      </c>
      <c r="F35">
        <v>-60.255000000000003</v>
      </c>
      <c r="G35">
        <v>4.2999999999999997E-2</v>
      </c>
      <c r="H35">
        <v>0.43</v>
      </c>
    </row>
    <row r="36" spans="1:11" x14ac:dyDescent="0.2">
      <c r="A36">
        <v>146</v>
      </c>
      <c r="B36" s="1">
        <v>5.77E-5</v>
      </c>
      <c r="C36">
        <v>251.91499999999999</v>
      </c>
      <c r="D36">
        <v>242.5</v>
      </c>
      <c r="E36">
        <v>255</v>
      </c>
      <c r="F36">
        <v>-8.8810000000000002</v>
      </c>
      <c r="G36">
        <v>4.2999999999999997E-2</v>
      </c>
      <c r="H36">
        <v>0.43</v>
      </c>
    </row>
    <row r="37" spans="1:11" x14ac:dyDescent="0.2">
      <c r="A37">
        <v>8</v>
      </c>
      <c r="B37" s="1">
        <v>5.94E-5</v>
      </c>
      <c r="C37">
        <v>163.733</v>
      </c>
      <c r="D37">
        <v>110.667</v>
      </c>
      <c r="E37">
        <v>190.55</v>
      </c>
      <c r="F37">
        <v>30.815999999999999</v>
      </c>
      <c r="G37">
        <v>4.3999999999999997E-2</v>
      </c>
      <c r="H37">
        <v>0.44</v>
      </c>
    </row>
    <row r="38" spans="1:11" x14ac:dyDescent="0.2">
      <c r="A38">
        <v>20</v>
      </c>
      <c r="B38" s="1">
        <v>5.94E-5</v>
      </c>
      <c r="C38">
        <v>204.929</v>
      </c>
      <c r="D38">
        <v>95.747</v>
      </c>
      <c r="E38">
        <v>255</v>
      </c>
      <c r="F38">
        <v>104.036</v>
      </c>
      <c r="G38">
        <v>4.3999999999999997E-2</v>
      </c>
      <c r="H38">
        <v>0.44</v>
      </c>
    </row>
    <row r="39" spans="1:11" x14ac:dyDescent="0.2">
      <c r="A39">
        <v>50</v>
      </c>
      <c r="B39" s="1">
        <v>5.94E-5</v>
      </c>
      <c r="C39">
        <v>242.435</v>
      </c>
      <c r="D39">
        <v>56</v>
      </c>
      <c r="E39">
        <v>255</v>
      </c>
      <c r="F39">
        <v>-173.089</v>
      </c>
      <c r="G39">
        <v>4.3999999999999997E-2</v>
      </c>
      <c r="H39">
        <v>0.44</v>
      </c>
    </row>
    <row r="40" spans="1:11" x14ac:dyDescent="0.2">
      <c r="A40">
        <v>92</v>
      </c>
      <c r="B40" s="1">
        <v>5.94E-5</v>
      </c>
      <c r="C40">
        <v>192.315</v>
      </c>
      <c r="D40">
        <v>50.667000000000002</v>
      </c>
      <c r="E40">
        <v>226.667</v>
      </c>
      <c r="F40">
        <v>158.839</v>
      </c>
      <c r="G40">
        <v>4.3999999999999997E-2</v>
      </c>
      <c r="H40">
        <v>0.44</v>
      </c>
    </row>
    <row r="41" spans="1:11" x14ac:dyDescent="0.2">
      <c r="A41">
        <v>125</v>
      </c>
      <c r="B41" s="1">
        <v>5.94E-5</v>
      </c>
      <c r="C41">
        <v>221.21799999999999</v>
      </c>
      <c r="D41">
        <v>175.303</v>
      </c>
      <c r="E41">
        <v>248.16200000000001</v>
      </c>
      <c r="F41">
        <v>1.736</v>
      </c>
      <c r="G41">
        <v>4.3999999999999997E-2</v>
      </c>
      <c r="H41">
        <v>0.44</v>
      </c>
    </row>
    <row r="42" spans="1:11" x14ac:dyDescent="0.2">
      <c r="A42">
        <v>152</v>
      </c>
      <c r="B42" s="1">
        <v>5.94E-5</v>
      </c>
      <c r="C42">
        <v>244.20099999999999</v>
      </c>
      <c r="D42">
        <v>208</v>
      </c>
      <c r="E42">
        <v>255</v>
      </c>
      <c r="F42">
        <v>46.219000000000001</v>
      </c>
      <c r="G42">
        <v>4.3999999999999997E-2</v>
      </c>
      <c r="H42">
        <v>0.44</v>
      </c>
    </row>
    <row r="43" spans="1:11" x14ac:dyDescent="0.2">
      <c r="A43">
        <v>159</v>
      </c>
      <c r="B43" s="1">
        <v>5.94E-5</v>
      </c>
      <c r="C43">
        <v>230.167</v>
      </c>
      <c r="D43">
        <v>61.332999999999998</v>
      </c>
      <c r="E43">
        <v>254.20099999999999</v>
      </c>
      <c r="F43">
        <v>74.290999999999997</v>
      </c>
      <c r="G43">
        <v>4.3999999999999997E-2</v>
      </c>
      <c r="H43">
        <v>0.44</v>
      </c>
    </row>
    <row r="44" spans="1:11" x14ac:dyDescent="0.2">
      <c r="A44">
        <v>176</v>
      </c>
      <c r="B44" s="1">
        <v>5.94E-5</v>
      </c>
      <c r="C44">
        <v>220.61600000000001</v>
      </c>
      <c r="D44">
        <v>181.09100000000001</v>
      </c>
      <c r="E44">
        <v>254.667</v>
      </c>
      <c r="F44">
        <v>-173.089</v>
      </c>
      <c r="G44">
        <v>4.3999999999999997E-2</v>
      </c>
      <c r="H44">
        <v>0.44</v>
      </c>
    </row>
    <row r="45" spans="1:11" x14ac:dyDescent="0.2">
      <c r="A45">
        <v>83</v>
      </c>
      <c r="B45" s="1">
        <v>6.1199999999999997E-5</v>
      </c>
      <c r="C45">
        <v>155.04300000000001</v>
      </c>
      <c r="D45">
        <v>87.667000000000002</v>
      </c>
      <c r="E45">
        <v>241.529</v>
      </c>
      <c r="F45">
        <v>86.634</v>
      </c>
      <c r="G45">
        <v>4.4999999999999998E-2</v>
      </c>
      <c r="H45">
        <v>0.45</v>
      </c>
    </row>
    <row r="46" spans="1:11" x14ac:dyDescent="0.2">
      <c r="A46">
        <v>162</v>
      </c>
      <c r="B46" s="1">
        <v>6.1199999999999997E-5</v>
      </c>
      <c r="C46">
        <v>190.37799999999999</v>
      </c>
      <c r="D46">
        <v>9</v>
      </c>
      <c r="E46">
        <v>254.82900000000001</v>
      </c>
      <c r="F46">
        <v>168.024</v>
      </c>
      <c r="G46">
        <v>4.4999999999999998E-2</v>
      </c>
      <c r="H46">
        <v>0.45</v>
      </c>
    </row>
    <row r="47" spans="1:11" x14ac:dyDescent="0.2">
      <c r="A47">
        <v>72</v>
      </c>
      <c r="B47" s="1">
        <v>6.2899999999999997E-5</v>
      </c>
      <c r="C47">
        <v>197.161</v>
      </c>
      <c r="D47">
        <v>161.74700000000001</v>
      </c>
      <c r="E47">
        <v>254.387</v>
      </c>
      <c r="F47">
        <v>-66.370999999999995</v>
      </c>
      <c r="G47">
        <v>4.5999999999999999E-2</v>
      </c>
      <c r="H47">
        <v>0.46</v>
      </c>
    </row>
    <row r="48" spans="1:11" x14ac:dyDescent="0.2">
      <c r="A48">
        <v>78</v>
      </c>
      <c r="B48" s="1">
        <v>6.2899999999999997E-5</v>
      </c>
      <c r="C48">
        <v>229.33</v>
      </c>
      <c r="D48">
        <v>188.26300000000001</v>
      </c>
      <c r="E48">
        <v>255</v>
      </c>
      <c r="F48">
        <v>-75.174000000000007</v>
      </c>
      <c r="G48">
        <v>4.5999999999999999E-2</v>
      </c>
      <c r="H48">
        <v>0.46</v>
      </c>
    </row>
    <row r="49" spans="1:8" x14ac:dyDescent="0.2">
      <c r="A49">
        <v>148</v>
      </c>
      <c r="B49" s="1">
        <v>6.2899999999999997E-5</v>
      </c>
      <c r="C49">
        <v>238.81200000000001</v>
      </c>
      <c r="D49">
        <v>181.03800000000001</v>
      </c>
      <c r="E49">
        <v>255</v>
      </c>
      <c r="F49">
        <v>-83.48</v>
      </c>
      <c r="G49">
        <v>4.7E-2</v>
      </c>
      <c r="H49">
        <v>0.47</v>
      </c>
    </row>
    <row r="50" spans="1:8" x14ac:dyDescent="0.2">
      <c r="A50">
        <v>174</v>
      </c>
      <c r="B50" s="1">
        <v>6.2899999999999997E-5</v>
      </c>
      <c r="C50">
        <v>205.393</v>
      </c>
      <c r="D50">
        <v>132.524</v>
      </c>
      <c r="E50">
        <v>255</v>
      </c>
      <c r="F50">
        <v>-171.87</v>
      </c>
      <c r="G50">
        <v>4.7E-2</v>
      </c>
      <c r="H50">
        <v>0.47</v>
      </c>
    </row>
    <row r="51" spans="1:8" x14ac:dyDescent="0.2">
      <c r="A51">
        <v>45</v>
      </c>
      <c r="B51" s="1">
        <v>6.4700000000000001E-5</v>
      </c>
      <c r="C51">
        <v>197.21799999999999</v>
      </c>
      <c r="D51">
        <v>161.917</v>
      </c>
      <c r="E51">
        <v>255</v>
      </c>
      <c r="F51">
        <v>-88.409000000000006</v>
      </c>
      <c r="G51">
        <v>4.8000000000000001E-2</v>
      </c>
      <c r="H51">
        <v>0.48</v>
      </c>
    </row>
    <row r="52" spans="1:8" x14ac:dyDescent="0.2">
      <c r="A52">
        <v>58</v>
      </c>
      <c r="B52" s="1">
        <v>6.4700000000000001E-5</v>
      </c>
      <c r="C52">
        <v>225.672</v>
      </c>
      <c r="D52">
        <v>193.083</v>
      </c>
      <c r="E52">
        <v>255</v>
      </c>
      <c r="F52">
        <v>50.598999999999997</v>
      </c>
      <c r="G52">
        <v>4.8000000000000001E-2</v>
      </c>
      <c r="H52">
        <v>0.48</v>
      </c>
    </row>
    <row r="53" spans="1:8" x14ac:dyDescent="0.2">
      <c r="A53">
        <v>64</v>
      </c>
      <c r="B53" s="1">
        <v>6.4700000000000001E-5</v>
      </c>
      <c r="C53">
        <v>234.34200000000001</v>
      </c>
      <c r="D53">
        <v>185.667</v>
      </c>
      <c r="E53">
        <v>254.833</v>
      </c>
      <c r="F53">
        <v>75.578999999999994</v>
      </c>
      <c r="G53">
        <v>4.8000000000000001E-2</v>
      </c>
      <c r="H53">
        <v>0.48</v>
      </c>
    </row>
    <row r="54" spans="1:8" x14ac:dyDescent="0.2">
      <c r="A54">
        <v>163</v>
      </c>
      <c r="B54" s="1">
        <v>6.4700000000000001E-5</v>
      </c>
      <c r="C54">
        <v>226.15</v>
      </c>
      <c r="D54">
        <v>171.667</v>
      </c>
      <c r="E54">
        <v>255</v>
      </c>
      <c r="F54">
        <v>-123.69</v>
      </c>
      <c r="G54">
        <v>4.8000000000000001E-2</v>
      </c>
      <c r="H54">
        <v>0.48</v>
      </c>
    </row>
    <row r="55" spans="1:8" x14ac:dyDescent="0.2">
      <c r="A55">
        <v>29</v>
      </c>
      <c r="B55" s="1">
        <v>6.6400000000000001E-5</v>
      </c>
      <c r="C55">
        <v>229.155</v>
      </c>
      <c r="D55">
        <v>202.624</v>
      </c>
      <c r="E55">
        <v>254.26400000000001</v>
      </c>
      <c r="F55">
        <v>-38.417999999999999</v>
      </c>
      <c r="G55">
        <v>4.9000000000000002E-2</v>
      </c>
      <c r="H55">
        <v>0.49</v>
      </c>
    </row>
    <row r="56" spans="1:8" x14ac:dyDescent="0.2">
      <c r="A56">
        <v>149</v>
      </c>
      <c r="B56" s="1">
        <v>6.6400000000000001E-5</v>
      </c>
      <c r="C56">
        <v>228.453</v>
      </c>
      <c r="D56">
        <v>142.667</v>
      </c>
      <c r="E56">
        <v>255</v>
      </c>
      <c r="F56">
        <v>108.925</v>
      </c>
      <c r="G56">
        <v>4.9000000000000002E-2</v>
      </c>
      <c r="H56">
        <v>0.49</v>
      </c>
    </row>
    <row r="57" spans="1:8" x14ac:dyDescent="0.2">
      <c r="A57">
        <v>49</v>
      </c>
      <c r="B57" s="1">
        <v>6.8200000000000004E-5</v>
      </c>
      <c r="C57">
        <v>231.38300000000001</v>
      </c>
      <c r="D57">
        <v>203.333</v>
      </c>
      <c r="E57">
        <v>255</v>
      </c>
      <c r="F57">
        <v>-61.39</v>
      </c>
      <c r="G57">
        <v>0.05</v>
      </c>
      <c r="H57">
        <v>0.5</v>
      </c>
    </row>
    <row r="58" spans="1:8" x14ac:dyDescent="0.2">
      <c r="A58">
        <v>134</v>
      </c>
      <c r="B58" s="1">
        <v>6.8200000000000004E-5</v>
      </c>
      <c r="C58">
        <v>227.92</v>
      </c>
      <c r="D58">
        <v>170</v>
      </c>
      <c r="E58">
        <v>255</v>
      </c>
      <c r="F58">
        <v>-3.0129999999999999</v>
      </c>
      <c r="G58">
        <v>0.05</v>
      </c>
      <c r="H58">
        <v>0.5</v>
      </c>
    </row>
    <row r="59" spans="1:8" x14ac:dyDescent="0.2">
      <c r="A59">
        <v>145</v>
      </c>
      <c r="B59" s="1">
        <v>6.8200000000000004E-5</v>
      </c>
      <c r="C59">
        <v>234.20400000000001</v>
      </c>
      <c r="D59">
        <v>181.68</v>
      </c>
      <c r="E59">
        <v>255</v>
      </c>
      <c r="F59">
        <v>-50.389000000000003</v>
      </c>
      <c r="G59">
        <v>0.05</v>
      </c>
      <c r="H59">
        <v>0.5</v>
      </c>
    </row>
    <row r="60" spans="1:8" x14ac:dyDescent="0.2">
      <c r="A60">
        <v>99</v>
      </c>
      <c r="B60" s="1">
        <v>6.8200000000000004E-5</v>
      </c>
      <c r="C60">
        <v>201.52500000000001</v>
      </c>
      <c r="D60">
        <v>44.667000000000002</v>
      </c>
      <c r="E60">
        <v>247.84200000000001</v>
      </c>
      <c r="F60">
        <v>81.027000000000001</v>
      </c>
      <c r="G60">
        <v>5.0999999999999997E-2</v>
      </c>
      <c r="H60">
        <v>0.51</v>
      </c>
    </row>
    <row r="61" spans="1:8" x14ac:dyDescent="0.2">
      <c r="A61">
        <v>101</v>
      </c>
      <c r="B61" s="1">
        <v>6.9900000000000005E-5</v>
      </c>
      <c r="C61">
        <v>216.02099999999999</v>
      </c>
      <c r="D61">
        <v>144.96700000000001</v>
      </c>
      <c r="E61">
        <v>244.886</v>
      </c>
      <c r="F61">
        <v>-106.557</v>
      </c>
      <c r="G61">
        <v>5.0999999999999997E-2</v>
      </c>
      <c r="H61">
        <v>0.51</v>
      </c>
    </row>
    <row r="62" spans="1:8" x14ac:dyDescent="0.2">
      <c r="A62">
        <v>14</v>
      </c>
      <c r="B62" s="1">
        <v>7.1699999999999995E-5</v>
      </c>
      <c r="C62">
        <v>168.375</v>
      </c>
      <c r="D62">
        <v>144.333</v>
      </c>
      <c r="E62">
        <v>197.81700000000001</v>
      </c>
      <c r="F62">
        <v>104.381</v>
      </c>
      <c r="G62">
        <v>5.2999999999999999E-2</v>
      </c>
      <c r="H62">
        <v>0.53</v>
      </c>
    </row>
    <row r="63" spans="1:8" x14ac:dyDescent="0.2">
      <c r="A63">
        <v>82</v>
      </c>
      <c r="B63" s="1">
        <v>7.1699999999999995E-5</v>
      </c>
      <c r="C63">
        <v>206.35</v>
      </c>
      <c r="D63">
        <v>171.80799999999999</v>
      </c>
      <c r="E63">
        <v>254.68299999999999</v>
      </c>
      <c r="F63">
        <v>-91.432000000000002</v>
      </c>
      <c r="G63">
        <v>5.2999999999999999E-2</v>
      </c>
      <c r="H63">
        <v>0.53</v>
      </c>
    </row>
    <row r="64" spans="1:8" x14ac:dyDescent="0.2">
      <c r="A64">
        <v>81</v>
      </c>
      <c r="B64" s="1">
        <v>7.5199999999999998E-5</v>
      </c>
      <c r="C64">
        <v>212.529</v>
      </c>
      <c r="D64">
        <v>132.30199999999999</v>
      </c>
      <c r="E64">
        <v>253.803</v>
      </c>
      <c r="F64">
        <v>11.041</v>
      </c>
      <c r="G64">
        <v>5.5E-2</v>
      </c>
      <c r="H64">
        <v>0.55000000000000004</v>
      </c>
    </row>
    <row r="65" spans="1:8" x14ac:dyDescent="0.2">
      <c r="A65">
        <v>164</v>
      </c>
      <c r="B65" s="1">
        <v>7.3399999999999995E-5</v>
      </c>
      <c r="C65">
        <v>221.56200000000001</v>
      </c>
      <c r="D65">
        <v>193.001</v>
      </c>
      <c r="E65">
        <v>254.28800000000001</v>
      </c>
      <c r="F65">
        <v>-67.165999999999997</v>
      </c>
      <c r="G65">
        <v>5.5E-2</v>
      </c>
      <c r="H65">
        <v>0.55000000000000004</v>
      </c>
    </row>
    <row r="66" spans="1:8" x14ac:dyDescent="0.2">
      <c r="A66">
        <v>59</v>
      </c>
      <c r="B66" s="1">
        <v>7.5199999999999998E-5</v>
      </c>
      <c r="C66">
        <v>206.846</v>
      </c>
      <c r="D66">
        <v>168.31</v>
      </c>
      <c r="E66">
        <v>254.667</v>
      </c>
      <c r="F66">
        <v>34.439</v>
      </c>
      <c r="G66">
        <v>5.6000000000000001E-2</v>
      </c>
      <c r="H66">
        <v>0.56000000000000005</v>
      </c>
    </row>
    <row r="67" spans="1:8" x14ac:dyDescent="0.2">
      <c r="A67">
        <v>113</v>
      </c>
      <c r="B67" s="1">
        <v>8.0400000000000003E-5</v>
      </c>
      <c r="C67">
        <v>200.71100000000001</v>
      </c>
      <c r="D67">
        <v>152.70400000000001</v>
      </c>
      <c r="E67">
        <v>234.51900000000001</v>
      </c>
      <c r="F67">
        <v>-88.727000000000004</v>
      </c>
      <c r="G67">
        <v>0.06</v>
      </c>
      <c r="H67">
        <v>0.6</v>
      </c>
    </row>
    <row r="68" spans="1:8" x14ac:dyDescent="0.2">
      <c r="A68">
        <v>175</v>
      </c>
      <c r="B68" s="1">
        <v>8.0400000000000003E-5</v>
      </c>
      <c r="C68">
        <v>190.40899999999999</v>
      </c>
      <c r="D68">
        <v>158.88499999999999</v>
      </c>
      <c r="E68">
        <v>235.691</v>
      </c>
      <c r="F68">
        <v>-161.96600000000001</v>
      </c>
      <c r="G68">
        <v>0.06</v>
      </c>
      <c r="H68">
        <v>0.6</v>
      </c>
    </row>
    <row r="69" spans="1:8" x14ac:dyDescent="0.2">
      <c r="A69">
        <v>26</v>
      </c>
      <c r="B69" s="1">
        <v>8.2200000000000006E-5</v>
      </c>
      <c r="C69">
        <v>215.15700000000001</v>
      </c>
      <c r="D69">
        <v>162.68100000000001</v>
      </c>
      <c r="E69">
        <v>254.87</v>
      </c>
      <c r="F69">
        <v>-7.431</v>
      </c>
      <c r="G69">
        <v>6.0999999999999999E-2</v>
      </c>
      <c r="H69">
        <v>0.61</v>
      </c>
    </row>
    <row r="70" spans="1:8" x14ac:dyDescent="0.2">
      <c r="A70">
        <v>21</v>
      </c>
      <c r="B70" s="1">
        <v>8.3900000000000006E-5</v>
      </c>
      <c r="C70">
        <v>207.49700000000001</v>
      </c>
      <c r="D70">
        <v>144.60400000000001</v>
      </c>
      <c r="E70">
        <v>254.97200000000001</v>
      </c>
      <c r="F70">
        <v>-63.435000000000002</v>
      </c>
      <c r="G70">
        <v>6.2E-2</v>
      </c>
      <c r="H70">
        <v>0.62</v>
      </c>
    </row>
    <row r="71" spans="1:8" x14ac:dyDescent="0.2">
      <c r="A71">
        <v>16</v>
      </c>
      <c r="B71" s="1">
        <v>8.5699999999999996E-5</v>
      </c>
      <c r="C71">
        <v>215.05799999999999</v>
      </c>
      <c r="D71">
        <v>161.083</v>
      </c>
      <c r="E71">
        <v>255</v>
      </c>
      <c r="F71">
        <v>-84.052999999999997</v>
      </c>
      <c r="G71">
        <v>6.4000000000000001E-2</v>
      </c>
      <c r="H71">
        <v>0.64</v>
      </c>
    </row>
    <row r="72" spans="1:8" x14ac:dyDescent="0.2">
      <c r="A72">
        <v>124</v>
      </c>
      <c r="B72" s="1">
        <v>8.5699999999999996E-5</v>
      </c>
      <c r="C72">
        <v>187.86500000000001</v>
      </c>
      <c r="D72">
        <v>142.74100000000001</v>
      </c>
      <c r="E72">
        <v>239</v>
      </c>
      <c r="F72">
        <v>-38.29</v>
      </c>
      <c r="G72">
        <v>6.4000000000000001E-2</v>
      </c>
      <c r="H72">
        <v>0.64</v>
      </c>
    </row>
    <row r="73" spans="1:8" x14ac:dyDescent="0.2">
      <c r="A73">
        <v>76</v>
      </c>
      <c r="B73" s="1">
        <v>8.7399999999999997E-5</v>
      </c>
      <c r="C73">
        <v>212.292</v>
      </c>
      <c r="D73">
        <v>90.332999999999998</v>
      </c>
      <c r="E73">
        <v>255</v>
      </c>
      <c r="F73">
        <v>168.232</v>
      </c>
      <c r="G73">
        <v>6.5000000000000002E-2</v>
      </c>
      <c r="H73">
        <v>0.65</v>
      </c>
    </row>
    <row r="74" spans="1:8" x14ac:dyDescent="0.2">
      <c r="A74">
        <v>22</v>
      </c>
      <c r="B74" s="1">
        <v>8.9099999999999997E-5</v>
      </c>
      <c r="C74">
        <v>228.63900000000001</v>
      </c>
      <c r="D74">
        <v>200.26</v>
      </c>
      <c r="E74">
        <v>255</v>
      </c>
      <c r="F74">
        <v>-88.853999999999999</v>
      </c>
      <c r="G74">
        <v>6.6000000000000003E-2</v>
      </c>
      <c r="H74">
        <v>0.66</v>
      </c>
    </row>
    <row r="75" spans="1:8" x14ac:dyDescent="0.2">
      <c r="A75">
        <v>46</v>
      </c>
      <c r="B75" s="1">
        <v>8.9099999999999997E-5</v>
      </c>
      <c r="C75">
        <v>198.47800000000001</v>
      </c>
      <c r="D75">
        <v>159.22999999999999</v>
      </c>
      <c r="E75">
        <v>242.333</v>
      </c>
      <c r="F75">
        <v>-161.19999999999999</v>
      </c>
      <c r="G75">
        <v>6.6000000000000003E-2</v>
      </c>
      <c r="H75">
        <v>0.66</v>
      </c>
    </row>
    <row r="76" spans="1:8" x14ac:dyDescent="0.2">
      <c r="A76">
        <v>74</v>
      </c>
      <c r="B76" s="1">
        <v>8.9099999999999997E-5</v>
      </c>
      <c r="C76">
        <v>173.78200000000001</v>
      </c>
      <c r="D76">
        <v>77</v>
      </c>
      <c r="E76">
        <v>249.667</v>
      </c>
      <c r="F76">
        <v>95.710999999999999</v>
      </c>
      <c r="G76">
        <v>6.6000000000000003E-2</v>
      </c>
      <c r="H76">
        <v>0.66</v>
      </c>
    </row>
    <row r="77" spans="1:8" x14ac:dyDescent="0.2">
      <c r="A77">
        <v>84</v>
      </c>
      <c r="B77" s="1">
        <v>8.9099999999999997E-5</v>
      </c>
      <c r="C77">
        <v>222.17699999999999</v>
      </c>
      <c r="D77">
        <v>194.46</v>
      </c>
      <c r="E77">
        <v>254.31100000000001</v>
      </c>
      <c r="F77">
        <v>40.100999999999999</v>
      </c>
      <c r="G77">
        <v>6.6000000000000003E-2</v>
      </c>
      <c r="H77">
        <v>0.66</v>
      </c>
    </row>
    <row r="78" spans="1:8" x14ac:dyDescent="0.2">
      <c r="A78">
        <v>102</v>
      </c>
      <c r="B78" s="1">
        <v>8.9099999999999997E-5</v>
      </c>
      <c r="C78">
        <v>221.11699999999999</v>
      </c>
      <c r="D78">
        <v>178.333</v>
      </c>
      <c r="E78">
        <v>248.55</v>
      </c>
      <c r="F78">
        <v>38.479999999999997</v>
      </c>
      <c r="G78">
        <v>6.6000000000000003E-2</v>
      </c>
      <c r="H78">
        <v>0.66</v>
      </c>
    </row>
    <row r="79" spans="1:8" x14ac:dyDescent="0.2">
      <c r="A79">
        <v>57</v>
      </c>
      <c r="B79" s="1">
        <v>9.09E-5</v>
      </c>
      <c r="C79">
        <v>231.672</v>
      </c>
      <c r="D79">
        <v>189</v>
      </c>
      <c r="E79">
        <v>254.71799999999999</v>
      </c>
      <c r="F79">
        <v>-128.66</v>
      </c>
      <c r="G79">
        <v>6.8000000000000005E-2</v>
      </c>
      <c r="H79">
        <v>0.68</v>
      </c>
    </row>
    <row r="80" spans="1:8" x14ac:dyDescent="0.2">
      <c r="A80">
        <v>61</v>
      </c>
      <c r="B80" s="1">
        <v>9.2600000000000001E-5</v>
      </c>
      <c r="C80">
        <v>212.983</v>
      </c>
      <c r="D80">
        <v>168.30199999999999</v>
      </c>
      <c r="E80">
        <v>253.96600000000001</v>
      </c>
      <c r="F80">
        <v>-118.523</v>
      </c>
      <c r="G80">
        <v>6.9000000000000006E-2</v>
      </c>
      <c r="H80">
        <v>0.69</v>
      </c>
    </row>
    <row r="81" spans="1:8" x14ac:dyDescent="0.2">
      <c r="A81">
        <v>135</v>
      </c>
      <c r="B81" s="1">
        <v>9.6100000000000005E-5</v>
      </c>
      <c r="C81">
        <v>222.56800000000001</v>
      </c>
      <c r="D81">
        <v>183.15100000000001</v>
      </c>
      <c r="E81">
        <v>255</v>
      </c>
      <c r="F81">
        <v>-10.685</v>
      </c>
      <c r="G81">
        <v>7.0999999999999994E-2</v>
      </c>
      <c r="H81">
        <v>0.71</v>
      </c>
    </row>
    <row r="82" spans="1:8" x14ac:dyDescent="0.2">
      <c r="A82">
        <v>166</v>
      </c>
      <c r="B82" s="1">
        <v>9.6100000000000005E-5</v>
      </c>
      <c r="C82">
        <v>208.43600000000001</v>
      </c>
      <c r="D82">
        <v>140.667</v>
      </c>
      <c r="E82">
        <v>236.333</v>
      </c>
      <c r="F82">
        <v>138.01300000000001</v>
      </c>
      <c r="G82">
        <v>7.0999999999999994E-2</v>
      </c>
      <c r="H82">
        <v>0.71</v>
      </c>
    </row>
    <row r="83" spans="1:8" x14ac:dyDescent="0.2">
      <c r="A83">
        <v>141</v>
      </c>
      <c r="B83" s="1">
        <v>9.6100000000000005E-5</v>
      </c>
      <c r="C83">
        <v>159.84200000000001</v>
      </c>
      <c r="D83">
        <v>114.51900000000001</v>
      </c>
      <c r="E83">
        <v>210</v>
      </c>
      <c r="F83">
        <v>-83.66</v>
      </c>
      <c r="G83">
        <v>7.1999999999999995E-2</v>
      </c>
      <c r="H83">
        <v>0.72</v>
      </c>
    </row>
    <row r="84" spans="1:8" x14ac:dyDescent="0.2">
      <c r="A84">
        <v>157</v>
      </c>
      <c r="B84" s="1">
        <v>9.6100000000000005E-5</v>
      </c>
      <c r="C84">
        <v>215.65899999999999</v>
      </c>
      <c r="D84">
        <v>179.76</v>
      </c>
      <c r="E84">
        <v>251.446</v>
      </c>
      <c r="F84">
        <v>11.725</v>
      </c>
      <c r="G84">
        <v>7.1999999999999995E-2</v>
      </c>
      <c r="H84">
        <v>0.72</v>
      </c>
    </row>
    <row r="85" spans="1:8" x14ac:dyDescent="0.2">
      <c r="A85">
        <v>68</v>
      </c>
      <c r="B85" s="1">
        <v>9.7899999999999994E-5</v>
      </c>
      <c r="C85">
        <v>231.256</v>
      </c>
      <c r="D85">
        <v>193.04</v>
      </c>
      <c r="E85">
        <v>254.869</v>
      </c>
      <c r="F85">
        <v>-129.14400000000001</v>
      </c>
      <c r="G85">
        <v>7.2999999999999995E-2</v>
      </c>
      <c r="H85">
        <v>0.73</v>
      </c>
    </row>
    <row r="86" spans="1:8" x14ac:dyDescent="0.2">
      <c r="A86">
        <v>90</v>
      </c>
      <c r="B86" s="1">
        <v>9.7899999999999994E-5</v>
      </c>
      <c r="C86">
        <v>217.15299999999999</v>
      </c>
      <c r="D86">
        <v>83.332999999999998</v>
      </c>
      <c r="E86">
        <v>255</v>
      </c>
      <c r="F86">
        <v>86.878</v>
      </c>
      <c r="G86">
        <v>7.2999999999999995E-2</v>
      </c>
      <c r="H86">
        <v>0.73</v>
      </c>
    </row>
    <row r="87" spans="1:8" x14ac:dyDescent="0.2">
      <c r="A87">
        <v>173</v>
      </c>
      <c r="B87" s="1">
        <v>9.7899999999999994E-5</v>
      </c>
      <c r="C87">
        <v>215.142</v>
      </c>
      <c r="D87">
        <v>164.27500000000001</v>
      </c>
      <c r="E87">
        <v>249</v>
      </c>
      <c r="F87">
        <v>-64.358999999999995</v>
      </c>
      <c r="G87">
        <v>7.2999999999999995E-2</v>
      </c>
      <c r="H87">
        <v>0.73</v>
      </c>
    </row>
    <row r="88" spans="1:8" x14ac:dyDescent="0.2">
      <c r="A88">
        <v>28</v>
      </c>
      <c r="B88" s="1">
        <v>9.9599999999999995E-5</v>
      </c>
      <c r="C88">
        <v>233.964</v>
      </c>
      <c r="D88">
        <v>199.93899999999999</v>
      </c>
      <c r="E88">
        <v>255</v>
      </c>
      <c r="F88">
        <v>10.305</v>
      </c>
      <c r="G88">
        <v>7.3999999999999996E-2</v>
      </c>
      <c r="H88">
        <v>0.74</v>
      </c>
    </row>
    <row r="89" spans="1:8" x14ac:dyDescent="0.2">
      <c r="A89">
        <v>77</v>
      </c>
      <c r="B89" s="1">
        <v>9.9599999999999995E-5</v>
      </c>
      <c r="C89">
        <v>235.81700000000001</v>
      </c>
      <c r="D89">
        <v>192.07499999999999</v>
      </c>
      <c r="E89">
        <v>254.97300000000001</v>
      </c>
      <c r="F89">
        <v>-37.694000000000003</v>
      </c>
      <c r="G89">
        <v>7.3999999999999996E-2</v>
      </c>
      <c r="H89">
        <v>0.74</v>
      </c>
    </row>
    <row r="90" spans="1:8" x14ac:dyDescent="0.2">
      <c r="A90">
        <v>87</v>
      </c>
      <c r="B90" s="1">
        <v>9.9599999999999995E-5</v>
      </c>
      <c r="C90">
        <v>205.11600000000001</v>
      </c>
      <c r="D90">
        <v>128.083</v>
      </c>
      <c r="E90">
        <v>246.536</v>
      </c>
      <c r="F90">
        <v>5.1020000000000003</v>
      </c>
      <c r="G90">
        <v>7.3999999999999996E-2</v>
      </c>
      <c r="H90">
        <v>0.74</v>
      </c>
    </row>
    <row r="91" spans="1:8" x14ac:dyDescent="0.2">
      <c r="A91">
        <v>112</v>
      </c>
      <c r="B91" s="1">
        <v>9.9599999999999995E-5</v>
      </c>
      <c r="C91">
        <v>196.154</v>
      </c>
      <c r="D91">
        <v>147.578</v>
      </c>
      <c r="E91">
        <v>251</v>
      </c>
      <c r="F91">
        <v>-122.55</v>
      </c>
      <c r="G91">
        <v>7.3999999999999996E-2</v>
      </c>
      <c r="H91">
        <v>0.74</v>
      </c>
    </row>
    <row r="92" spans="1:8" x14ac:dyDescent="0.2">
      <c r="A92">
        <v>161</v>
      </c>
      <c r="B92" s="1">
        <v>9.9599999999999995E-5</v>
      </c>
      <c r="C92">
        <v>203.71799999999999</v>
      </c>
      <c r="D92">
        <v>160.226</v>
      </c>
      <c r="E92">
        <v>238.619</v>
      </c>
      <c r="F92">
        <v>-3.0659999999999998</v>
      </c>
      <c r="G92">
        <v>7.3999999999999996E-2</v>
      </c>
      <c r="H92">
        <v>0.74</v>
      </c>
    </row>
    <row r="93" spans="1:8" x14ac:dyDescent="0.2">
      <c r="A93">
        <v>169</v>
      </c>
      <c r="B93" s="1">
        <v>9.9599999999999995E-5</v>
      </c>
      <c r="C93">
        <v>202.39500000000001</v>
      </c>
      <c r="D93">
        <v>126</v>
      </c>
      <c r="E93">
        <v>254.464</v>
      </c>
      <c r="F93">
        <v>118.85599999999999</v>
      </c>
      <c r="G93">
        <v>7.3999999999999996E-2</v>
      </c>
      <c r="H93">
        <v>0.74</v>
      </c>
    </row>
    <row r="94" spans="1:8" x14ac:dyDescent="0.2">
      <c r="A94">
        <v>13</v>
      </c>
      <c r="B94" s="1">
        <v>1.01E-4</v>
      </c>
      <c r="C94">
        <v>144.08699999999999</v>
      </c>
      <c r="D94">
        <v>121.404</v>
      </c>
      <c r="E94">
        <v>168.08799999999999</v>
      </c>
      <c r="F94">
        <v>-86.986999999999995</v>
      </c>
      <c r="G94">
        <v>7.4999999999999997E-2</v>
      </c>
      <c r="H94">
        <v>0.75</v>
      </c>
    </row>
    <row r="95" spans="1:8" x14ac:dyDescent="0.2">
      <c r="A95">
        <v>53</v>
      </c>
      <c r="B95" s="1">
        <v>1.01E-4</v>
      </c>
      <c r="C95">
        <v>229.167</v>
      </c>
      <c r="D95">
        <v>176.32499999999999</v>
      </c>
      <c r="E95">
        <v>255</v>
      </c>
      <c r="F95">
        <v>-28.369</v>
      </c>
      <c r="G95">
        <v>7.4999999999999997E-2</v>
      </c>
      <c r="H95">
        <v>0.75</v>
      </c>
    </row>
    <row r="96" spans="1:8" x14ac:dyDescent="0.2">
      <c r="A96">
        <v>63</v>
      </c>
      <c r="B96" s="1">
        <v>1.01E-4</v>
      </c>
      <c r="C96">
        <v>207.57499999999999</v>
      </c>
      <c r="D96">
        <v>173.84899999999999</v>
      </c>
      <c r="E96">
        <v>243</v>
      </c>
      <c r="F96">
        <v>15.255000000000001</v>
      </c>
      <c r="G96">
        <v>7.4999999999999997E-2</v>
      </c>
      <c r="H96">
        <v>0.75</v>
      </c>
    </row>
    <row r="97" spans="1:8" x14ac:dyDescent="0.2">
      <c r="A97">
        <v>71</v>
      </c>
      <c r="B97" s="1">
        <v>9.9599999999999995E-5</v>
      </c>
      <c r="C97">
        <v>188.09299999999999</v>
      </c>
      <c r="D97">
        <v>151.59700000000001</v>
      </c>
      <c r="E97">
        <v>244.768</v>
      </c>
      <c r="F97">
        <v>-37.073</v>
      </c>
      <c r="G97">
        <v>7.4999999999999997E-2</v>
      </c>
      <c r="H97">
        <v>0.75</v>
      </c>
    </row>
    <row r="98" spans="1:8" x14ac:dyDescent="0.2">
      <c r="A98">
        <v>104</v>
      </c>
      <c r="B98" s="1">
        <v>1.01E-4</v>
      </c>
      <c r="C98">
        <v>190.13399999999999</v>
      </c>
      <c r="D98">
        <v>153.17099999999999</v>
      </c>
      <c r="E98">
        <v>255</v>
      </c>
      <c r="F98">
        <v>-110.67400000000001</v>
      </c>
      <c r="G98">
        <v>7.4999999999999997E-2</v>
      </c>
      <c r="H98">
        <v>0.75</v>
      </c>
    </row>
    <row r="99" spans="1:8" x14ac:dyDescent="0.2">
      <c r="A99">
        <v>32</v>
      </c>
      <c r="B99" s="1">
        <v>1.03E-4</v>
      </c>
      <c r="C99">
        <v>234.59700000000001</v>
      </c>
      <c r="D99">
        <v>190.227</v>
      </c>
      <c r="E99">
        <v>254.57900000000001</v>
      </c>
      <c r="F99">
        <v>-14.036</v>
      </c>
      <c r="G99">
        <v>7.5999999999999998E-2</v>
      </c>
      <c r="H99">
        <v>0.76</v>
      </c>
    </row>
    <row r="100" spans="1:8" x14ac:dyDescent="0.2">
      <c r="A100">
        <v>62</v>
      </c>
      <c r="B100" s="1">
        <v>1.01E-4</v>
      </c>
      <c r="C100">
        <v>231.37100000000001</v>
      </c>
      <c r="D100">
        <v>202.667</v>
      </c>
      <c r="E100">
        <v>249.87299999999999</v>
      </c>
      <c r="F100">
        <v>-130.06100000000001</v>
      </c>
      <c r="G100">
        <v>7.5999999999999998E-2</v>
      </c>
      <c r="H100">
        <v>0.76</v>
      </c>
    </row>
    <row r="101" spans="1:8" x14ac:dyDescent="0.2">
      <c r="A101">
        <v>133</v>
      </c>
      <c r="B101" s="1">
        <v>1.01E-4</v>
      </c>
      <c r="C101">
        <v>181.334</v>
      </c>
      <c r="D101">
        <v>8.2219999999999995</v>
      </c>
      <c r="E101">
        <v>254.577</v>
      </c>
      <c r="F101">
        <v>125.074</v>
      </c>
      <c r="G101">
        <v>7.5999999999999998E-2</v>
      </c>
      <c r="H101">
        <v>0.76</v>
      </c>
    </row>
    <row r="102" spans="1:8" x14ac:dyDescent="0.2">
      <c r="A102">
        <v>143</v>
      </c>
      <c r="B102" s="1">
        <v>1.01E-4</v>
      </c>
      <c r="C102">
        <v>200.93700000000001</v>
      </c>
      <c r="D102">
        <v>108.667</v>
      </c>
      <c r="E102">
        <v>253.333</v>
      </c>
      <c r="F102">
        <v>152.98699999999999</v>
      </c>
      <c r="G102">
        <v>7.5999999999999998E-2</v>
      </c>
      <c r="H102">
        <v>0.76</v>
      </c>
    </row>
    <row r="103" spans="1:8" x14ac:dyDescent="0.2">
      <c r="A103">
        <v>2</v>
      </c>
      <c r="B103" s="1">
        <v>1.03E-4</v>
      </c>
      <c r="C103">
        <v>138.142</v>
      </c>
      <c r="D103">
        <v>101.59</v>
      </c>
      <c r="E103">
        <v>189.333</v>
      </c>
      <c r="F103">
        <v>-19.058</v>
      </c>
      <c r="G103">
        <v>7.6999999999999999E-2</v>
      </c>
      <c r="H103">
        <v>0.77</v>
      </c>
    </row>
    <row r="104" spans="1:8" x14ac:dyDescent="0.2">
      <c r="A104">
        <v>27</v>
      </c>
      <c r="B104" s="1">
        <v>1.03E-4</v>
      </c>
      <c r="C104">
        <v>214.52500000000001</v>
      </c>
      <c r="D104">
        <v>166.333</v>
      </c>
      <c r="E104">
        <v>253.90199999999999</v>
      </c>
      <c r="F104">
        <v>-175.07300000000001</v>
      </c>
      <c r="G104">
        <v>7.6999999999999999E-2</v>
      </c>
      <c r="H104">
        <v>0.77</v>
      </c>
    </row>
    <row r="105" spans="1:8" x14ac:dyDescent="0.2">
      <c r="A105">
        <v>132</v>
      </c>
      <c r="B105" s="1">
        <v>1.03E-4</v>
      </c>
      <c r="C105">
        <v>210.92</v>
      </c>
      <c r="D105">
        <v>175.19800000000001</v>
      </c>
      <c r="E105">
        <v>255</v>
      </c>
      <c r="F105">
        <v>70.941999999999993</v>
      </c>
      <c r="G105">
        <v>7.6999999999999999E-2</v>
      </c>
      <c r="H105">
        <v>0.77</v>
      </c>
    </row>
    <row r="106" spans="1:8" x14ac:dyDescent="0.2">
      <c r="A106">
        <v>137</v>
      </c>
      <c r="B106" s="1">
        <v>1.03E-4</v>
      </c>
      <c r="C106">
        <v>224.429</v>
      </c>
      <c r="D106">
        <v>178.667</v>
      </c>
      <c r="E106">
        <v>243.114</v>
      </c>
      <c r="F106">
        <v>-38.046999999999997</v>
      </c>
      <c r="G106">
        <v>7.6999999999999999E-2</v>
      </c>
      <c r="H106">
        <v>0.77</v>
      </c>
    </row>
    <row r="107" spans="1:8" x14ac:dyDescent="0.2">
      <c r="A107">
        <v>178</v>
      </c>
      <c r="B107" s="1">
        <v>1.03E-4</v>
      </c>
      <c r="C107">
        <v>166.345</v>
      </c>
      <c r="D107">
        <v>18.332999999999998</v>
      </c>
      <c r="E107">
        <v>243.541</v>
      </c>
      <c r="F107">
        <v>-160.94200000000001</v>
      </c>
      <c r="G107">
        <v>7.6999999999999999E-2</v>
      </c>
      <c r="H107">
        <v>0.77</v>
      </c>
    </row>
    <row r="108" spans="1:8" x14ac:dyDescent="0.2">
      <c r="A108">
        <v>18</v>
      </c>
      <c r="B108" s="1">
        <v>1.05E-4</v>
      </c>
      <c r="C108">
        <v>218.828</v>
      </c>
      <c r="D108">
        <v>167.232</v>
      </c>
      <c r="E108">
        <v>253.209</v>
      </c>
      <c r="F108">
        <v>2.911</v>
      </c>
      <c r="G108">
        <v>7.8E-2</v>
      </c>
      <c r="H108">
        <v>0.78</v>
      </c>
    </row>
    <row r="109" spans="1:8" x14ac:dyDescent="0.2">
      <c r="A109">
        <v>33</v>
      </c>
      <c r="B109" s="1">
        <v>1.05E-4</v>
      </c>
      <c r="C109">
        <v>223.42500000000001</v>
      </c>
      <c r="D109">
        <v>149</v>
      </c>
      <c r="E109">
        <v>254.56899999999999</v>
      </c>
      <c r="F109">
        <v>-101.68899999999999</v>
      </c>
      <c r="G109">
        <v>7.8E-2</v>
      </c>
      <c r="H109">
        <v>0.78</v>
      </c>
    </row>
    <row r="110" spans="1:8" x14ac:dyDescent="0.2">
      <c r="A110">
        <v>3</v>
      </c>
      <c r="B110" s="1">
        <v>1.07E-4</v>
      </c>
      <c r="C110">
        <v>160.488</v>
      </c>
      <c r="D110">
        <v>124.511</v>
      </c>
      <c r="E110">
        <v>208.33600000000001</v>
      </c>
      <c r="F110">
        <v>-43.982999999999997</v>
      </c>
      <c r="G110">
        <v>7.9000000000000001E-2</v>
      </c>
      <c r="H110">
        <v>0.79</v>
      </c>
    </row>
    <row r="111" spans="1:8" x14ac:dyDescent="0.2">
      <c r="A111">
        <v>52</v>
      </c>
      <c r="B111" s="1">
        <v>1.05E-4</v>
      </c>
      <c r="C111">
        <v>200.41200000000001</v>
      </c>
      <c r="D111">
        <v>155.77199999999999</v>
      </c>
      <c r="E111">
        <v>236.809</v>
      </c>
      <c r="F111">
        <v>19.654</v>
      </c>
      <c r="G111">
        <v>7.9000000000000001E-2</v>
      </c>
      <c r="H111">
        <v>0.79</v>
      </c>
    </row>
    <row r="112" spans="1:8" x14ac:dyDescent="0.2">
      <c r="A112">
        <v>55</v>
      </c>
      <c r="B112" s="1">
        <v>1.05E-4</v>
      </c>
      <c r="C112">
        <v>224.26599999999999</v>
      </c>
      <c r="D112">
        <v>132.333</v>
      </c>
      <c r="E112">
        <v>253.28100000000001</v>
      </c>
      <c r="F112">
        <v>-163.393</v>
      </c>
      <c r="G112">
        <v>7.9000000000000001E-2</v>
      </c>
      <c r="H112">
        <v>0.79</v>
      </c>
    </row>
    <row r="113" spans="1:8" x14ac:dyDescent="0.2">
      <c r="A113">
        <v>70</v>
      </c>
      <c r="B113" s="1">
        <v>1.07E-4</v>
      </c>
      <c r="C113">
        <v>179.02</v>
      </c>
      <c r="D113">
        <v>99.667000000000002</v>
      </c>
      <c r="E113">
        <v>253.333</v>
      </c>
      <c r="F113">
        <v>-130.91399999999999</v>
      </c>
      <c r="G113">
        <v>7.9000000000000001E-2</v>
      </c>
      <c r="H113">
        <v>0.79</v>
      </c>
    </row>
    <row r="114" spans="1:8" x14ac:dyDescent="0.2">
      <c r="A114">
        <v>116</v>
      </c>
      <c r="B114" s="1">
        <v>1.07E-4</v>
      </c>
      <c r="C114">
        <v>152.69200000000001</v>
      </c>
      <c r="D114">
        <v>105.37</v>
      </c>
      <c r="E114">
        <v>251.239</v>
      </c>
      <c r="F114">
        <v>172.27799999999999</v>
      </c>
      <c r="G114">
        <v>7.9000000000000001E-2</v>
      </c>
      <c r="H114">
        <v>0.79</v>
      </c>
    </row>
    <row r="115" spans="1:8" x14ac:dyDescent="0.2">
      <c r="A115">
        <v>170</v>
      </c>
      <c r="B115" s="1">
        <v>1.07E-4</v>
      </c>
      <c r="C115">
        <v>189.70099999999999</v>
      </c>
      <c r="D115">
        <v>141.417</v>
      </c>
      <c r="E115">
        <v>250</v>
      </c>
      <c r="F115">
        <v>-119.148</v>
      </c>
      <c r="G115">
        <v>7.9000000000000001E-2</v>
      </c>
      <c r="H115">
        <v>0.79</v>
      </c>
    </row>
    <row r="116" spans="1:8" x14ac:dyDescent="0.2">
      <c r="A116">
        <v>9</v>
      </c>
      <c r="B116" s="1">
        <v>1.08E-4</v>
      </c>
      <c r="C116">
        <v>151.47300000000001</v>
      </c>
      <c r="D116">
        <v>128.45500000000001</v>
      </c>
      <c r="E116">
        <v>205</v>
      </c>
      <c r="F116">
        <v>89.525999999999996</v>
      </c>
      <c r="G116">
        <v>0.08</v>
      </c>
      <c r="H116">
        <v>0.8</v>
      </c>
    </row>
    <row r="117" spans="1:8" x14ac:dyDescent="0.2">
      <c r="A117">
        <v>54</v>
      </c>
      <c r="B117" s="1">
        <v>1.07E-4</v>
      </c>
      <c r="C117">
        <v>228.55699999999999</v>
      </c>
      <c r="D117">
        <v>165.43799999999999</v>
      </c>
      <c r="E117">
        <v>255</v>
      </c>
      <c r="F117">
        <v>-26.565000000000001</v>
      </c>
      <c r="G117">
        <v>0.08</v>
      </c>
      <c r="H117">
        <v>0.8</v>
      </c>
    </row>
    <row r="118" spans="1:8" x14ac:dyDescent="0.2">
      <c r="A118">
        <v>105</v>
      </c>
      <c r="B118" s="1">
        <v>1.07E-4</v>
      </c>
      <c r="C118">
        <v>200.386</v>
      </c>
      <c r="D118">
        <v>168.29599999999999</v>
      </c>
      <c r="E118">
        <v>252.119</v>
      </c>
      <c r="F118">
        <v>145.78399999999999</v>
      </c>
      <c r="G118">
        <v>0.08</v>
      </c>
      <c r="H118">
        <v>0.8</v>
      </c>
    </row>
    <row r="119" spans="1:8" x14ac:dyDescent="0.2">
      <c r="A119">
        <v>30</v>
      </c>
      <c r="B119" s="1">
        <v>1.1E-4</v>
      </c>
      <c r="C119">
        <v>201.20500000000001</v>
      </c>
      <c r="D119">
        <v>177.31899999999999</v>
      </c>
      <c r="E119">
        <v>254.667</v>
      </c>
      <c r="F119">
        <v>41.710999999999999</v>
      </c>
      <c r="G119">
        <v>8.1000000000000003E-2</v>
      </c>
      <c r="H119">
        <v>0.81</v>
      </c>
    </row>
    <row r="120" spans="1:8" x14ac:dyDescent="0.2">
      <c r="A120">
        <v>66</v>
      </c>
      <c r="B120" s="1">
        <v>1.08E-4</v>
      </c>
      <c r="C120">
        <v>213.96899999999999</v>
      </c>
      <c r="D120">
        <v>60.332999999999998</v>
      </c>
      <c r="E120">
        <v>254.464</v>
      </c>
      <c r="F120">
        <v>101.31</v>
      </c>
      <c r="G120">
        <v>8.1000000000000003E-2</v>
      </c>
      <c r="H120">
        <v>0.81</v>
      </c>
    </row>
    <row r="121" spans="1:8" x14ac:dyDescent="0.2">
      <c r="A121">
        <v>88</v>
      </c>
      <c r="B121" s="1">
        <v>1.08E-4</v>
      </c>
      <c r="C121">
        <v>222.01400000000001</v>
      </c>
      <c r="D121">
        <v>133.333</v>
      </c>
      <c r="E121">
        <v>255</v>
      </c>
      <c r="F121">
        <v>158.89500000000001</v>
      </c>
      <c r="G121">
        <v>8.1000000000000003E-2</v>
      </c>
      <c r="H121">
        <v>0.81</v>
      </c>
    </row>
    <row r="122" spans="1:8" x14ac:dyDescent="0.2">
      <c r="A122">
        <v>95</v>
      </c>
      <c r="B122" s="1">
        <v>1.1E-4</v>
      </c>
      <c r="C122">
        <v>232.33</v>
      </c>
      <c r="D122">
        <v>200.64400000000001</v>
      </c>
      <c r="E122">
        <v>248.22200000000001</v>
      </c>
      <c r="F122">
        <v>-131.71100000000001</v>
      </c>
      <c r="G122">
        <v>8.1000000000000003E-2</v>
      </c>
      <c r="H122">
        <v>0.81</v>
      </c>
    </row>
    <row r="123" spans="1:8" x14ac:dyDescent="0.2">
      <c r="A123">
        <v>106</v>
      </c>
      <c r="B123" s="1">
        <v>1.08E-4</v>
      </c>
      <c r="C123">
        <v>185.73699999999999</v>
      </c>
      <c r="D123">
        <v>111.76</v>
      </c>
      <c r="E123">
        <v>254.51400000000001</v>
      </c>
      <c r="F123">
        <v>70.974000000000004</v>
      </c>
      <c r="G123">
        <v>8.1000000000000003E-2</v>
      </c>
      <c r="H123">
        <v>0.81</v>
      </c>
    </row>
    <row r="124" spans="1:8" x14ac:dyDescent="0.2">
      <c r="A124">
        <v>142</v>
      </c>
      <c r="B124" s="1">
        <v>1.08E-4</v>
      </c>
      <c r="C124">
        <v>170.78</v>
      </c>
      <c r="D124">
        <v>125.197</v>
      </c>
      <c r="E124">
        <v>222.185</v>
      </c>
      <c r="F124">
        <v>-109.026</v>
      </c>
      <c r="G124">
        <v>8.1000000000000003E-2</v>
      </c>
      <c r="H124">
        <v>0.81</v>
      </c>
    </row>
    <row r="125" spans="1:8" x14ac:dyDescent="0.2">
      <c r="A125">
        <v>171</v>
      </c>
      <c r="B125" s="1">
        <v>1.08E-4</v>
      </c>
      <c r="C125">
        <v>192.374</v>
      </c>
      <c r="D125">
        <v>151.268</v>
      </c>
      <c r="E125">
        <v>255</v>
      </c>
      <c r="F125">
        <v>-60.488999999999997</v>
      </c>
      <c r="G125">
        <v>8.1000000000000003E-2</v>
      </c>
      <c r="H125">
        <v>0.81</v>
      </c>
    </row>
    <row r="126" spans="1:8" x14ac:dyDescent="0.2">
      <c r="A126">
        <v>121</v>
      </c>
      <c r="B126" s="1">
        <v>1.1E-4</v>
      </c>
      <c r="C126">
        <v>195.37200000000001</v>
      </c>
      <c r="D126">
        <v>120.667</v>
      </c>
      <c r="E126">
        <v>243.59800000000001</v>
      </c>
      <c r="F126">
        <v>-136.30199999999999</v>
      </c>
      <c r="G126">
        <v>8.2000000000000003E-2</v>
      </c>
      <c r="H126">
        <v>0.82</v>
      </c>
    </row>
    <row r="127" spans="1:8" x14ac:dyDescent="0.2">
      <c r="A127">
        <v>1</v>
      </c>
      <c r="B127" s="1">
        <v>1.12E-4</v>
      </c>
      <c r="C127">
        <v>143.11099999999999</v>
      </c>
      <c r="D127">
        <v>115.13</v>
      </c>
      <c r="E127">
        <v>219</v>
      </c>
      <c r="F127">
        <v>-7.3520000000000003</v>
      </c>
      <c r="G127">
        <v>8.3000000000000004E-2</v>
      </c>
      <c r="H127">
        <v>0.83</v>
      </c>
    </row>
    <row r="128" spans="1:8" x14ac:dyDescent="0.2">
      <c r="A128">
        <v>4</v>
      </c>
      <c r="B128" s="1">
        <v>1.1E-4</v>
      </c>
      <c r="C128">
        <v>165.767</v>
      </c>
      <c r="D128">
        <v>128</v>
      </c>
      <c r="E128">
        <v>186.934</v>
      </c>
      <c r="F128">
        <v>50.194000000000003</v>
      </c>
      <c r="G128">
        <v>8.3000000000000004E-2</v>
      </c>
      <c r="H128">
        <v>0.83</v>
      </c>
    </row>
    <row r="129" spans="1:8" x14ac:dyDescent="0.2">
      <c r="A129">
        <v>79</v>
      </c>
      <c r="B129" s="1">
        <v>1.12E-4</v>
      </c>
      <c r="C129">
        <v>221.09700000000001</v>
      </c>
      <c r="D129">
        <v>190.43100000000001</v>
      </c>
      <c r="E129">
        <v>255</v>
      </c>
      <c r="F129">
        <v>-154.654</v>
      </c>
      <c r="G129">
        <v>8.3000000000000004E-2</v>
      </c>
      <c r="H129">
        <v>0.83</v>
      </c>
    </row>
    <row r="130" spans="1:8" x14ac:dyDescent="0.2">
      <c r="A130">
        <v>111</v>
      </c>
      <c r="B130" s="1">
        <v>1.12E-4</v>
      </c>
      <c r="C130">
        <v>166.96700000000001</v>
      </c>
      <c r="D130">
        <v>125.667</v>
      </c>
      <c r="E130">
        <v>231.16300000000001</v>
      </c>
      <c r="F130">
        <v>100.95399999999999</v>
      </c>
      <c r="G130">
        <v>8.3000000000000004E-2</v>
      </c>
      <c r="H130">
        <v>0.83</v>
      </c>
    </row>
    <row r="131" spans="1:8" x14ac:dyDescent="0.2">
      <c r="A131">
        <v>69</v>
      </c>
      <c r="B131" s="1">
        <v>1.1400000000000001E-4</v>
      </c>
      <c r="C131">
        <v>176.21100000000001</v>
      </c>
      <c r="D131">
        <v>95.667000000000002</v>
      </c>
      <c r="E131">
        <v>253.03</v>
      </c>
      <c r="F131">
        <v>76.399000000000001</v>
      </c>
      <c r="G131">
        <v>8.4000000000000005E-2</v>
      </c>
      <c r="H131">
        <v>0.84</v>
      </c>
    </row>
    <row r="132" spans="1:8" x14ac:dyDescent="0.2">
      <c r="A132">
        <v>93</v>
      </c>
      <c r="B132" s="1">
        <v>1.1400000000000001E-4</v>
      </c>
      <c r="C132">
        <v>184.80600000000001</v>
      </c>
      <c r="D132">
        <v>135.4</v>
      </c>
      <c r="E132">
        <v>250.089</v>
      </c>
      <c r="F132">
        <v>-71.846999999999994</v>
      </c>
      <c r="G132">
        <v>8.5000000000000006E-2</v>
      </c>
      <c r="H132">
        <v>0.85</v>
      </c>
    </row>
    <row r="133" spans="1:8" x14ac:dyDescent="0.2">
      <c r="A133">
        <v>131</v>
      </c>
      <c r="B133" s="1">
        <v>1.1400000000000001E-4</v>
      </c>
      <c r="C133">
        <v>197.691</v>
      </c>
      <c r="D133">
        <v>84.332999999999998</v>
      </c>
      <c r="E133">
        <v>241.60400000000001</v>
      </c>
      <c r="F133">
        <v>150.255</v>
      </c>
      <c r="G133">
        <v>8.5000000000000006E-2</v>
      </c>
      <c r="H133">
        <v>0.85</v>
      </c>
    </row>
    <row r="134" spans="1:8" x14ac:dyDescent="0.2">
      <c r="A134">
        <v>7</v>
      </c>
      <c r="B134" s="1">
        <v>1.17E-4</v>
      </c>
      <c r="C134">
        <v>147.69900000000001</v>
      </c>
      <c r="D134">
        <v>126.364</v>
      </c>
      <c r="E134">
        <v>203.60599999999999</v>
      </c>
      <c r="F134">
        <v>59.930999999999997</v>
      </c>
      <c r="G134">
        <v>8.6999999999999994E-2</v>
      </c>
      <c r="H134">
        <v>0.87</v>
      </c>
    </row>
    <row r="135" spans="1:8" x14ac:dyDescent="0.2">
      <c r="A135">
        <v>127</v>
      </c>
      <c r="B135" s="1">
        <v>1.1900000000000001E-4</v>
      </c>
      <c r="C135">
        <v>209.94</v>
      </c>
      <c r="D135">
        <v>169.53800000000001</v>
      </c>
      <c r="E135">
        <v>253.155</v>
      </c>
      <c r="F135">
        <v>-132.56299999999999</v>
      </c>
      <c r="G135">
        <v>8.7999999999999995E-2</v>
      </c>
      <c r="H135">
        <v>0.88</v>
      </c>
    </row>
    <row r="136" spans="1:8" x14ac:dyDescent="0.2">
      <c r="A136">
        <v>138</v>
      </c>
      <c r="B136" s="1">
        <v>1.1900000000000001E-4</v>
      </c>
      <c r="C136">
        <v>194.24</v>
      </c>
      <c r="D136">
        <v>148.667</v>
      </c>
      <c r="E136">
        <v>250.28899999999999</v>
      </c>
      <c r="F136">
        <v>129.58799999999999</v>
      </c>
      <c r="G136">
        <v>8.8999999999999996E-2</v>
      </c>
      <c r="H136">
        <v>0.89</v>
      </c>
    </row>
    <row r="137" spans="1:8" x14ac:dyDescent="0.2">
      <c r="A137">
        <v>11</v>
      </c>
      <c r="B137" s="1">
        <v>1.22E-4</v>
      </c>
      <c r="C137">
        <v>172.179</v>
      </c>
      <c r="D137">
        <v>121.861</v>
      </c>
      <c r="E137">
        <v>231.07599999999999</v>
      </c>
      <c r="F137">
        <v>118.244</v>
      </c>
      <c r="G137">
        <v>9.0999999999999998E-2</v>
      </c>
      <c r="H137">
        <v>0.91</v>
      </c>
    </row>
    <row r="138" spans="1:8" x14ac:dyDescent="0.2">
      <c r="A138">
        <v>110</v>
      </c>
      <c r="B138" s="1">
        <v>1.22E-4</v>
      </c>
      <c r="C138">
        <v>180.65100000000001</v>
      </c>
      <c r="D138">
        <v>117.667</v>
      </c>
      <c r="E138">
        <v>233.94200000000001</v>
      </c>
      <c r="F138">
        <v>90.83</v>
      </c>
      <c r="G138">
        <v>9.0999999999999998E-2</v>
      </c>
      <c r="H138">
        <v>0.91</v>
      </c>
    </row>
    <row r="139" spans="1:8" x14ac:dyDescent="0.2">
      <c r="A139">
        <v>140</v>
      </c>
      <c r="B139" s="1">
        <v>1.2400000000000001E-4</v>
      </c>
      <c r="C139">
        <v>201.452</v>
      </c>
      <c r="D139">
        <v>147.333</v>
      </c>
      <c r="E139">
        <v>254.905</v>
      </c>
      <c r="F139">
        <v>-129.17400000000001</v>
      </c>
      <c r="G139">
        <v>9.1999999999999998E-2</v>
      </c>
      <c r="H139">
        <v>0.92</v>
      </c>
    </row>
    <row r="140" spans="1:8" x14ac:dyDescent="0.2">
      <c r="A140">
        <v>40</v>
      </c>
      <c r="B140" s="1">
        <v>1.2400000000000001E-4</v>
      </c>
      <c r="C140">
        <v>226.333</v>
      </c>
      <c r="D140">
        <v>123.667</v>
      </c>
      <c r="E140">
        <v>254.83199999999999</v>
      </c>
      <c r="F140">
        <v>144.273</v>
      </c>
      <c r="G140">
        <v>9.2999999999999999E-2</v>
      </c>
      <c r="H140">
        <v>0.93</v>
      </c>
    </row>
    <row r="141" spans="1:8" x14ac:dyDescent="0.2">
      <c r="A141">
        <v>144</v>
      </c>
      <c r="B141" s="1">
        <v>1.2400000000000001E-4</v>
      </c>
      <c r="C141">
        <v>209.52199999999999</v>
      </c>
      <c r="D141">
        <v>148.95699999999999</v>
      </c>
      <c r="E141">
        <v>255</v>
      </c>
      <c r="F141">
        <v>-80.134</v>
      </c>
      <c r="G141">
        <v>9.2999999999999999E-2</v>
      </c>
      <c r="H141">
        <v>0.93</v>
      </c>
    </row>
    <row r="142" spans="1:8" x14ac:dyDescent="0.2">
      <c r="A142">
        <v>115</v>
      </c>
      <c r="B142" s="1">
        <v>1.26E-4</v>
      </c>
      <c r="C142">
        <v>168.67699999999999</v>
      </c>
      <c r="D142">
        <v>131.43899999999999</v>
      </c>
      <c r="E142">
        <v>222.667</v>
      </c>
      <c r="F142">
        <v>-46.146000000000001</v>
      </c>
      <c r="G142">
        <v>9.4E-2</v>
      </c>
      <c r="H142">
        <v>0.94</v>
      </c>
    </row>
    <row r="143" spans="1:8" x14ac:dyDescent="0.2">
      <c r="A143">
        <v>168</v>
      </c>
      <c r="B143" s="1">
        <v>1.3300000000000001E-4</v>
      </c>
      <c r="C143">
        <v>197.20500000000001</v>
      </c>
      <c r="D143">
        <v>170.36</v>
      </c>
      <c r="E143">
        <v>252.667</v>
      </c>
      <c r="F143">
        <v>-15.523999999999999</v>
      </c>
      <c r="G143">
        <v>9.9000000000000005E-2</v>
      </c>
      <c r="H143">
        <v>0.99</v>
      </c>
    </row>
    <row r="144" spans="1:8" x14ac:dyDescent="0.2">
      <c r="A144">
        <v>180</v>
      </c>
      <c r="B144" s="1">
        <v>1.3300000000000001E-4</v>
      </c>
      <c r="C144">
        <v>204.49100000000001</v>
      </c>
      <c r="D144">
        <v>143.65600000000001</v>
      </c>
      <c r="E144">
        <v>255</v>
      </c>
      <c r="F144">
        <v>-42.838999999999999</v>
      </c>
      <c r="G144">
        <v>9.9000000000000005E-2</v>
      </c>
      <c r="H144">
        <v>0.99</v>
      </c>
    </row>
    <row r="145" spans="1:8" x14ac:dyDescent="0.2">
      <c r="A145">
        <v>75</v>
      </c>
      <c r="B145" s="1">
        <v>1.3300000000000001E-4</v>
      </c>
      <c r="C145">
        <v>221.71100000000001</v>
      </c>
      <c r="D145">
        <v>170.66800000000001</v>
      </c>
      <c r="E145">
        <v>255</v>
      </c>
      <c r="F145">
        <v>-51.459000000000003</v>
      </c>
      <c r="G145">
        <v>0.1</v>
      </c>
      <c r="H145">
        <v>1</v>
      </c>
    </row>
    <row r="146" spans="1:8" x14ac:dyDescent="0.2">
      <c r="A146">
        <v>17</v>
      </c>
      <c r="B146" s="1">
        <v>1.35E-4</v>
      </c>
      <c r="C146">
        <v>216.447</v>
      </c>
      <c r="D146">
        <v>120</v>
      </c>
      <c r="E146">
        <v>255</v>
      </c>
      <c r="F146">
        <v>93.013000000000005</v>
      </c>
      <c r="G146">
        <v>0.10100000000000001</v>
      </c>
      <c r="H146">
        <v>1.01</v>
      </c>
    </row>
    <row r="147" spans="1:8" x14ac:dyDescent="0.2">
      <c r="A147">
        <v>80</v>
      </c>
      <c r="B147" s="1">
        <v>1.3799999999999999E-4</v>
      </c>
      <c r="C147">
        <v>159.744</v>
      </c>
      <c r="D147">
        <v>128.11799999999999</v>
      </c>
      <c r="E147">
        <v>231.53200000000001</v>
      </c>
      <c r="F147">
        <v>-77.391000000000005</v>
      </c>
      <c r="G147">
        <v>0.10299999999999999</v>
      </c>
      <c r="H147">
        <v>1.03</v>
      </c>
    </row>
    <row r="148" spans="1:8" x14ac:dyDescent="0.2">
      <c r="A148">
        <v>129</v>
      </c>
      <c r="B148" s="1">
        <v>1.3799999999999999E-4</v>
      </c>
      <c r="C148">
        <v>191.98500000000001</v>
      </c>
      <c r="D148">
        <v>129.77099999999999</v>
      </c>
      <c r="E148">
        <v>254.64099999999999</v>
      </c>
      <c r="F148">
        <v>-57.529000000000003</v>
      </c>
      <c r="G148">
        <v>0.10299999999999999</v>
      </c>
      <c r="H148">
        <v>1.03</v>
      </c>
    </row>
    <row r="149" spans="1:8" x14ac:dyDescent="0.2">
      <c r="A149">
        <v>147</v>
      </c>
      <c r="B149" s="1">
        <v>1.3999999999999999E-4</v>
      </c>
      <c r="C149">
        <v>181.958</v>
      </c>
      <c r="D149">
        <v>131.31200000000001</v>
      </c>
      <c r="E149">
        <v>244</v>
      </c>
      <c r="F149">
        <v>40.365000000000002</v>
      </c>
      <c r="G149">
        <v>0.104</v>
      </c>
      <c r="H149">
        <v>1.04</v>
      </c>
    </row>
    <row r="150" spans="1:8" x14ac:dyDescent="0.2">
      <c r="A150">
        <v>89</v>
      </c>
      <c r="B150" s="1">
        <v>1.4200000000000001E-4</v>
      </c>
      <c r="C150">
        <v>215.88800000000001</v>
      </c>
      <c r="D150">
        <v>153.74199999999999</v>
      </c>
      <c r="E150">
        <v>255</v>
      </c>
      <c r="F150">
        <v>-23.670999999999999</v>
      </c>
      <c r="G150">
        <v>0.105</v>
      </c>
      <c r="H150">
        <v>1.05</v>
      </c>
    </row>
    <row r="151" spans="1:8" x14ac:dyDescent="0.2">
      <c r="A151">
        <v>103</v>
      </c>
      <c r="B151" s="1">
        <v>1.45E-4</v>
      </c>
      <c r="C151">
        <v>188.999</v>
      </c>
      <c r="D151">
        <v>155.505</v>
      </c>
      <c r="E151">
        <v>247.13399999999999</v>
      </c>
      <c r="F151">
        <v>11.31</v>
      </c>
      <c r="G151">
        <v>0.108</v>
      </c>
      <c r="H151">
        <v>1.08</v>
      </c>
    </row>
    <row r="152" spans="1:8" x14ac:dyDescent="0.2">
      <c r="A152">
        <v>118</v>
      </c>
      <c r="B152" s="1">
        <v>1.45E-4</v>
      </c>
      <c r="C152">
        <v>157.119</v>
      </c>
      <c r="D152">
        <v>124.18600000000001</v>
      </c>
      <c r="E152">
        <v>238.678</v>
      </c>
      <c r="F152">
        <v>167.32</v>
      </c>
      <c r="G152">
        <v>0.108</v>
      </c>
      <c r="H152">
        <v>1.08</v>
      </c>
    </row>
    <row r="153" spans="1:8" x14ac:dyDescent="0.2">
      <c r="A153">
        <v>12</v>
      </c>
      <c r="B153" s="1">
        <v>1.47E-4</v>
      </c>
      <c r="C153">
        <v>173.99299999999999</v>
      </c>
      <c r="D153">
        <v>108.85</v>
      </c>
      <c r="E153">
        <v>237.70500000000001</v>
      </c>
      <c r="F153">
        <v>-12.529</v>
      </c>
      <c r="G153">
        <v>0.11</v>
      </c>
      <c r="H153">
        <v>1.1000000000000001</v>
      </c>
    </row>
    <row r="154" spans="1:8" x14ac:dyDescent="0.2">
      <c r="A154">
        <v>108</v>
      </c>
      <c r="B154" s="1">
        <v>1.4899999999999999E-4</v>
      </c>
      <c r="C154">
        <v>170.50200000000001</v>
      </c>
      <c r="D154">
        <v>142.75800000000001</v>
      </c>
      <c r="E154">
        <v>220.76900000000001</v>
      </c>
      <c r="F154">
        <v>158.96199999999999</v>
      </c>
      <c r="G154">
        <v>0.11</v>
      </c>
      <c r="H154">
        <v>1.1000000000000001</v>
      </c>
    </row>
    <row r="155" spans="1:8" x14ac:dyDescent="0.2">
      <c r="A155">
        <v>117</v>
      </c>
      <c r="B155" s="1">
        <v>1.47E-4</v>
      </c>
      <c r="C155">
        <v>210.64699999999999</v>
      </c>
      <c r="D155">
        <v>134.333</v>
      </c>
      <c r="E155">
        <v>254.667</v>
      </c>
      <c r="F155">
        <v>180</v>
      </c>
      <c r="G155">
        <v>0.11</v>
      </c>
      <c r="H155">
        <v>1.1000000000000001</v>
      </c>
    </row>
    <row r="156" spans="1:8" x14ac:dyDescent="0.2">
      <c r="A156">
        <v>179</v>
      </c>
      <c r="B156" s="1">
        <v>1.47E-4</v>
      </c>
      <c r="C156">
        <v>169.25200000000001</v>
      </c>
      <c r="D156">
        <v>71.465999999999994</v>
      </c>
      <c r="E156">
        <v>254.64500000000001</v>
      </c>
      <c r="F156">
        <v>77.471000000000004</v>
      </c>
      <c r="G156">
        <v>0.11</v>
      </c>
      <c r="H156">
        <v>1.1000000000000001</v>
      </c>
    </row>
    <row r="157" spans="1:8" x14ac:dyDescent="0.2">
      <c r="A157">
        <v>19</v>
      </c>
      <c r="B157" s="1">
        <v>1.4899999999999999E-4</v>
      </c>
      <c r="C157">
        <v>189.39699999999999</v>
      </c>
      <c r="D157">
        <v>157.755</v>
      </c>
      <c r="E157">
        <v>255</v>
      </c>
      <c r="F157">
        <v>146.68899999999999</v>
      </c>
      <c r="G157">
        <v>0.111</v>
      </c>
      <c r="H157">
        <v>1.1100000000000001</v>
      </c>
    </row>
    <row r="158" spans="1:8" x14ac:dyDescent="0.2">
      <c r="A158">
        <v>25</v>
      </c>
      <c r="B158" s="1">
        <v>1.4899999999999999E-4</v>
      </c>
      <c r="C158">
        <v>198.25399999999999</v>
      </c>
      <c r="D158">
        <v>170.96600000000001</v>
      </c>
      <c r="E158">
        <v>243.596</v>
      </c>
      <c r="F158">
        <v>148.57</v>
      </c>
      <c r="G158">
        <v>0.112</v>
      </c>
      <c r="H158">
        <v>1.1200000000000001</v>
      </c>
    </row>
    <row r="159" spans="1:8" x14ac:dyDescent="0.2">
      <c r="A159">
        <v>34</v>
      </c>
      <c r="B159" s="1">
        <v>1.4999999999999999E-4</v>
      </c>
      <c r="C159">
        <v>216.93100000000001</v>
      </c>
      <c r="D159">
        <v>152.32900000000001</v>
      </c>
      <c r="E159">
        <v>255</v>
      </c>
      <c r="F159">
        <v>-8.7970000000000006</v>
      </c>
      <c r="G159">
        <v>0.112</v>
      </c>
      <c r="H159">
        <v>1.1200000000000001</v>
      </c>
    </row>
    <row r="160" spans="1:8" x14ac:dyDescent="0.2">
      <c r="A160">
        <v>158</v>
      </c>
      <c r="B160" s="1">
        <v>1.4899999999999999E-4</v>
      </c>
      <c r="C160">
        <v>188.49700000000001</v>
      </c>
      <c r="D160">
        <v>136.74199999999999</v>
      </c>
      <c r="E160">
        <v>253.06</v>
      </c>
      <c r="F160">
        <v>76.293000000000006</v>
      </c>
      <c r="G160">
        <v>0.112</v>
      </c>
      <c r="H160">
        <v>1.1200000000000001</v>
      </c>
    </row>
    <row r="161" spans="1:8" x14ac:dyDescent="0.2">
      <c r="A161">
        <v>109</v>
      </c>
      <c r="B161" s="1">
        <v>1.4999999999999999E-4</v>
      </c>
      <c r="C161">
        <v>163.10499999999999</v>
      </c>
      <c r="D161">
        <v>131.88499999999999</v>
      </c>
      <c r="E161">
        <v>232.67500000000001</v>
      </c>
      <c r="F161">
        <v>122.574</v>
      </c>
      <c r="G161">
        <v>0.113</v>
      </c>
      <c r="H161">
        <v>1.1299999999999999</v>
      </c>
    </row>
    <row r="162" spans="1:8" x14ac:dyDescent="0.2">
      <c r="A162">
        <v>126</v>
      </c>
      <c r="B162" s="1">
        <v>1.5200000000000001E-4</v>
      </c>
      <c r="C162">
        <v>191.345</v>
      </c>
      <c r="D162">
        <v>91.697000000000003</v>
      </c>
      <c r="E162">
        <v>236.93899999999999</v>
      </c>
      <c r="F162">
        <v>6.71</v>
      </c>
      <c r="G162">
        <v>0.113</v>
      </c>
      <c r="H162">
        <v>1.1299999999999999</v>
      </c>
    </row>
    <row r="163" spans="1:8" x14ac:dyDescent="0.2">
      <c r="A163">
        <v>6</v>
      </c>
      <c r="B163" s="1">
        <v>1.5200000000000001E-4</v>
      </c>
      <c r="C163">
        <v>163.11000000000001</v>
      </c>
      <c r="D163">
        <v>120.95399999999999</v>
      </c>
      <c r="E163">
        <v>239.69499999999999</v>
      </c>
      <c r="F163">
        <v>-77.974999999999994</v>
      </c>
      <c r="G163">
        <v>0.114</v>
      </c>
      <c r="H163">
        <v>1.1399999999999999</v>
      </c>
    </row>
    <row r="164" spans="1:8" x14ac:dyDescent="0.2">
      <c r="A164">
        <v>120</v>
      </c>
      <c r="B164" s="1">
        <v>1.5200000000000001E-4</v>
      </c>
      <c r="C164">
        <v>194.155</v>
      </c>
      <c r="D164">
        <v>90.796000000000006</v>
      </c>
      <c r="E164">
        <v>248.80799999999999</v>
      </c>
      <c r="F164">
        <v>-153.733</v>
      </c>
      <c r="G164">
        <v>0.114</v>
      </c>
      <c r="H164">
        <v>1.1399999999999999</v>
      </c>
    </row>
    <row r="165" spans="1:8" x14ac:dyDescent="0.2">
      <c r="A165">
        <v>94</v>
      </c>
      <c r="B165" s="1">
        <v>1.56E-4</v>
      </c>
      <c r="C165">
        <v>192.602</v>
      </c>
      <c r="D165">
        <v>147.28100000000001</v>
      </c>
      <c r="E165">
        <v>236.667</v>
      </c>
      <c r="F165">
        <v>77.542000000000002</v>
      </c>
      <c r="G165">
        <v>0.11600000000000001</v>
      </c>
      <c r="H165">
        <v>1.1599999999999999</v>
      </c>
    </row>
    <row r="166" spans="1:8" x14ac:dyDescent="0.2">
      <c r="A166">
        <v>123</v>
      </c>
      <c r="B166" s="1">
        <v>1.5699999999999999E-4</v>
      </c>
      <c r="C166">
        <v>179.322</v>
      </c>
      <c r="D166">
        <v>144.172</v>
      </c>
      <c r="E166">
        <v>233.333</v>
      </c>
      <c r="F166">
        <v>-156.03800000000001</v>
      </c>
      <c r="G166">
        <v>0.11700000000000001</v>
      </c>
      <c r="H166">
        <v>1.17</v>
      </c>
    </row>
    <row r="167" spans="1:8" x14ac:dyDescent="0.2">
      <c r="A167">
        <v>38</v>
      </c>
      <c r="B167" s="1">
        <v>1.6100000000000001E-4</v>
      </c>
      <c r="C167">
        <v>195.82900000000001</v>
      </c>
      <c r="D167">
        <v>175.739</v>
      </c>
      <c r="E167">
        <v>242.22900000000001</v>
      </c>
      <c r="F167">
        <v>53.509</v>
      </c>
      <c r="G167">
        <v>0.12</v>
      </c>
      <c r="H167">
        <v>1.2</v>
      </c>
    </row>
    <row r="168" spans="1:8" x14ac:dyDescent="0.2">
      <c r="A168">
        <v>73</v>
      </c>
      <c r="B168" s="1">
        <v>1.6100000000000001E-4</v>
      </c>
      <c r="C168">
        <v>205.90100000000001</v>
      </c>
      <c r="D168">
        <v>144.66399999999999</v>
      </c>
      <c r="E168">
        <v>255</v>
      </c>
      <c r="F168">
        <v>-23.199000000000002</v>
      </c>
      <c r="G168">
        <v>0.121</v>
      </c>
      <c r="H168">
        <v>1.21</v>
      </c>
    </row>
    <row r="169" spans="1:8" x14ac:dyDescent="0.2">
      <c r="A169">
        <v>37</v>
      </c>
      <c r="B169" s="1">
        <v>1.64E-4</v>
      </c>
      <c r="C169">
        <v>178.005</v>
      </c>
      <c r="D169">
        <v>134.05500000000001</v>
      </c>
      <c r="E169">
        <v>249.59700000000001</v>
      </c>
      <c r="F169">
        <v>-108.239</v>
      </c>
      <c r="G169">
        <v>0.122</v>
      </c>
      <c r="H169">
        <v>1.22</v>
      </c>
    </row>
    <row r="170" spans="1:8" x14ac:dyDescent="0.2">
      <c r="A170">
        <v>56</v>
      </c>
      <c r="B170" s="1">
        <v>1.64E-4</v>
      </c>
      <c r="C170">
        <v>214.25800000000001</v>
      </c>
      <c r="D170">
        <v>152.90600000000001</v>
      </c>
      <c r="E170">
        <v>255</v>
      </c>
      <c r="F170">
        <v>15.523999999999999</v>
      </c>
      <c r="G170">
        <v>0.123</v>
      </c>
      <c r="H170">
        <v>1.23</v>
      </c>
    </row>
    <row r="171" spans="1:8" x14ac:dyDescent="0.2">
      <c r="A171">
        <v>96</v>
      </c>
      <c r="B171" s="1">
        <v>1.64E-4</v>
      </c>
      <c r="C171">
        <v>195.68100000000001</v>
      </c>
      <c r="D171">
        <v>158.43</v>
      </c>
      <c r="E171">
        <v>252.24700000000001</v>
      </c>
      <c r="F171">
        <v>120.434</v>
      </c>
      <c r="G171">
        <v>0.123</v>
      </c>
      <c r="H171">
        <v>1.23</v>
      </c>
    </row>
    <row r="172" spans="1:8" x14ac:dyDescent="0.2">
      <c r="A172">
        <v>128</v>
      </c>
      <c r="B172" s="1">
        <v>1.6799999999999999E-4</v>
      </c>
      <c r="C172">
        <v>167.059</v>
      </c>
      <c r="D172">
        <v>120.9</v>
      </c>
      <c r="E172">
        <v>252.333</v>
      </c>
      <c r="F172">
        <v>-152.35400000000001</v>
      </c>
      <c r="G172">
        <v>0.125</v>
      </c>
      <c r="H172">
        <v>1.25</v>
      </c>
    </row>
    <row r="173" spans="1:8" x14ac:dyDescent="0.2">
      <c r="A173">
        <v>31</v>
      </c>
      <c r="B173" s="1">
        <v>1.6799999999999999E-4</v>
      </c>
      <c r="C173">
        <v>213.893</v>
      </c>
      <c r="D173">
        <v>136.333</v>
      </c>
      <c r="E173">
        <v>254.73</v>
      </c>
      <c r="F173">
        <v>-174.58799999999999</v>
      </c>
      <c r="G173">
        <v>0.126</v>
      </c>
      <c r="H173">
        <v>1.26</v>
      </c>
    </row>
    <row r="174" spans="1:8" x14ac:dyDescent="0.2">
      <c r="A174">
        <v>154</v>
      </c>
      <c r="B174" s="1">
        <v>1.6799999999999999E-4</v>
      </c>
      <c r="C174">
        <v>181.12</v>
      </c>
      <c r="D174">
        <v>73</v>
      </c>
      <c r="E174">
        <v>253.011</v>
      </c>
      <c r="F174">
        <v>91.206000000000003</v>
      </c>
      <c r="G174">
        <v>0.126</v>
      </c>
      <c r="H174">
        <v>1.26</v>
      </c>
    </row>
    <row r="175" spans="1:8" x14ac:dyDescent="0.2">
      <c r="A175">
        <v>10</v>
      </c>
      <c r="B175" s="1">
        <v>1.7000000000000001E-4</v>
      </c>
      <c r="C175">
        <v>170.65199999999999</v>
      </c>
      <c r="D175">
        <v>137.5</v>
      </c>
      <c r="E175">
        <v>231.25</v>
      </c>
      <c r="F175">
        <v>24.963000000000001</v>
      </c>
      <c r="G175">
        <v>0.127</v>
      </c>
      <c r="H175">
        <v>1.27</v>
      </c>
    </row>
    <row r="176" spans="1:8" x14ac:dyDescent="0.2">
      <c r="A176">
        <v>41</v>
      </c>
      <c r="B176" s="1">
        <v>1.84E-4</v>
      </c>
      <c r="C176">
        <v>208.595</v>
      </c>
      <c r="D176">
        <v>169.345</v>
      </c>
      <c r="E176">
        <v>242.44900000000001</v>
      </c>
      <c r="F176">
        <v>21.393000000000001</v>
      </c>
      <c r="G176">
        <v>0.13800000000000001</v>
      </c>
      <c r="H176">
        <v>1.38</v>
      </c>
    </row>
    <row r="177" spans="1:8" x14ac:dyDescent="0.2">
      <c r="A177">
        <v>35</v>
      </c>
      <c r="B177" s="1">
        <v>2.4699999999999999E-4</v>
      </c>
      <c r="C177">
        <v>210.85300000000001</v>
      </c>
      <c r="D177">
        <v>181.48</v>
      </c>
      <c r="E177">
        <v>254.67400000000001</v>
      </c>
      <c r="F177">
        <v>20.890999999999998</v>
      </c>
      <c r="G177">
        <v>0.185</v>
      </c>
      <c r="H177">
        <v>1.85</v>
      </c>
    </row>
    <row r="178" spans="1:8" x14ac:dyDescent="0.2">
      <c r="A178">
        <v>42</v>
      </c>
      <c r="B178" s="1">
        <v>2.5300000000000002E-4</v>
      </c>
      <c r="C178">
        <v>180.62200000000001</v>
      </c>
      <c r="D178">
        <v>137.94200000000001</v>
      </c>
      <c r="E178">
        <v>245.333</v>
      </c>
      <c r="F178">
        <v>-75.963999999999999</v>
      </c>
      <c r="G178">
        <v>0.191</v>
      </c>
      <c r="H178">
        <v>1.91</v>
      </c>
    </row>
    <row r="179" spans="1:8" x14ac:dyDescent="0.2">
      <c r="A179">
        <v>36</v>
      </c>
      <c r="B179" s="1">
        <v>2.5500000000000002E-4</v>
      </c>
      <c r="C179">
        <v>200.39400000000001</v>
      </c>
      <c r="D179">
        <v>104.176</v>
      </c>
      <c r="E179">
        <v>254.94</v>
      </c>
      <c r="F179">
        <v>141.71</v>
      </c>
      <c r="G179">
        <v>0.192</v>
      </c>
      <c r="H179">
        <v>1.92</v>
      </c>
    </row>
    <row r="180" spans="1:8" x14ac:dyDescent="0.2">
      <c r="A180">
        <v>39</v>
      </c>
      <c r="B180" s="1">
        <v>2.5900000000000001E-4</v>
      </c>
      <c r="C180">
        <v>213.946</v>
      </c>
      <c r="D180">
        <v>169.381</v>
      </c>
      <c r="E180">
        <v>239.35599999999999</v>
      </c>
      <c r="F180">
        <v>11.768000000000001</v>
      </c>
      <c r="G180">
        <v>0.19400000000000001</v>
      </c>
      <c r="H180">
        <v>1.94</v>
      </c>
    </row>
    <row r="181" spans="1:8" x14ac:dyDescent="0.2">
      <c r="A181">
        <v>43</v>
      </c>
      <c r="B181" s="1">
        <v>3.2299999999999999E-4</v>
      </c>
      <c r="C181">
        <v>144.59</v>
      </c>
      <c r="D181">
        <v>111.333</v>
      </c>
      <c r="E181">
        <v>254.511</v>
      </c>
      <c r="F181">
        <v>2.8</v>
      </c>
      <c r="G181">
        <v>0.24399999999999999</v>
      </c>
      <c r="H181">
        <v>2.44</v>
      </c>
    </row>
    <row r="183" spans="1:8" x14ac:dyDescent="0.2">
      <c r="H183">
        <f>AVERAGE(H2:H176)</f>
        <v>0.71531428571428557</v>
      </c>
    </row>
    <row r="184" spans="1:8" x14ac:dyDescent="0.2">
      <c r="H184">
        <f>STDEV(H2:H176)</f>
        <v>0.26543347451375932</v>
      </c>
    </row>
    <row r="185" spans="1:8" x14ac:dyDescent="0.2">
      <c r="H185">
        <f>H184/H183</f>
        <v>0.37107251989062062</v>
      </c>
    </row>
  </sheetData>
  <sortState xmlns:xlrd2="http://schemas.microsoft.com/office/spreadsheetml/2017/richdata2" ref="L3:L14">
    <sortCondition ref="L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Copepod Measurements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Delphine Mossman</dc:creator>
  <cp:lastModifiedBy>Delphine Mossman</cp:lastModifiedBy>
  <dcterms:created xsi:type="dcterms:W3CDTF">2021-11-08T13:11:35Z</dcterms:created>
  <dcterms:modified xsi:type="dcterms:W3CDTF">2021-11-26T16:56:35Z</dcterms:modified>
</cp:coreProperties>
</file>